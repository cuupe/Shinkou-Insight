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d777b7661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进度" sheetId="1" r:id="Rc6fd9ce863724910"/>
    <x:sheet xmlns:r="http://schemas.openxmlformats.org/officeDocument/2006/relationships" name="功能用例" sheetId="2" r:id="R437202e0cafa4855"/>
    <x:sheet xmlns:r="http://schemas.openxmlformats.org/officeDocument/2006/relationships" name="接口用例" sheetId="3" r:id="R14c42b9a293d4588"/>
    <x:sheet xmlns:r="http://schemas.openxmlformats.org/officeDocument/2006/relationships" name="缺陷记录" sheetId="4" r:id="R05a519def6bc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6">
    <x:font>
      <x:sz val="11"/>
      <x:name val="Carlito"/>
    </x:font>
    <x:font>
      <x:sz val="11"/>
      <x:color rgb="FF1C2C3D"/>
      <x:name val="Arial"/>
    </x:font>
    <x:font>
      <x:b/>
      <x:sz val="16"/>
      <x:color rgb="FF203449"/>
      <x:name val="Arial"/>
    </x:font>
    <x:font>
      <x:sz val="10"/>
      <x:color rgb="FF5F6B78"/>
      <x:name val="Arial"/>
    </x:font>
    <x:font>
      <x:b/>
      <x:sz val="11"/>
      <x:color rgb="FFFFFFFF"/>
      <x:name val="Arial"/>
    </x:font>
    <x:font>
      <x:b/>
      <x:sz val="13"/>
      <x:color rgb="FF2034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449"/>
      </x:patternFill>
    </x:fill>
    <x:fill>
      <x:patternFill patternType="solid">
        <x:fgColor rgb="FFFFF4CC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9C2424"/>
      </x:font>
      <x:fill>
        <x:patternFill patternType="solid">
          <x:bgColor rgb="FFFCE4E4"/>
        </x:patternFill>
      </x:fill>
    </x:dxf>
    <x:dxf>
      <x:font>
        <x:b/>
        <x:color rgb="FF8B570C"/>
      </x:font>
      <x:fill>
        <x:patternFill patternType="solid">
          <x:bgColor rgb="FFFCEBCC"/>
        </x:patternFill>
      </x:fill>
    </x:dxf>
    <x:dxf>
      <x:font>
        <x:b/>
        <x:color rgb="FFA12C2C"/>
      </x:font>
    </x:dxf>
    <x:dxf>
      <x:font>
        <x:b/>
        <x:color rgb="FF9C2424"/>
      </x:font>
      <x:fill>
        <x:patternFill patternType="solid">
          <x:bgColor rgb="FFFCE4E4"/>
        </x:patternFill>
      </x:fill>
    </x:dxf>
    <x:dxf>
      <x:font>
        <x:b/>
        <x:color rgb="FF8B570C"/>
      </x:font>
      <x:fill>
        <x:patternFill patternType="solid">
          <x:bgColor rgb="FFFCEBCC"/>
        </x:patternFill>
      </x:fill>
    </x:dxf>
    <x:dxf>
      <x:font>
        <x:b/>
        <x:color rgb="FFA12C2C"/>
      </x:font>
    </x:dxf>
    <x:dxf>
      <x:font>
        <x:b/>
        <x:color rgb="FF9C2424"/>
      </x:font>
      <x:fill>
        <x:patternFill patternType="solid">
          <x:bgColor rgb="FFFCE4E4"/>
        </x:patternFill>
      </x:fill>
    </x:dxf>
    <x:dxf>
      <x:font>
        <x:b/>
        <x:color rgb="FF9C2424"/>
      </x:font>
      <x:fill>
        <x:patternFill patternType="solid">
          <x:bgColor rgb="FFFCE4E4"/>
        </x:patternFill>
      </x:fill>
    </x:dxf>
    <x:dxf>
      <x:font>
        <x:b/>
        <x:color rgb="FF9C2424"/>
      </x:font>
      <x:fill>
        <x:patternFill patternType="solid">
          <x:bgColor rgb="FFFCE4E4"/>
        </x:patternFill>
      </x:fill>
    </x:dxf>
    <x:dxf>
      <x:font>
        <x:b/>
        <x:color rgb="FF9C2424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738923fae4d2c" /><Relationship Type="http://schemas.openxmlformats.org/officeDocument/2006/relationships/theme" Target="/xl/theme/theme1.xml" Id="R404b99961a014b32" /><Relationship Type="http://schemas.openxmlformats.org/officeDocument/2006/relationships/sharedStrings" Target="/xl/sharedStrings.xml" Id="Rb27fb4eebd674fba" /><Relationship Type="http://schemas.openxmlformats.org/officeDocument/2006/relationships/worksheet" Target="/xl/worksheets/sheet1.xml" Id="Rc6fd9ce863724910" /><Relationship Type="http://schemas.openxmlformats.org/officeDocument/2006/relationships/worksheet" Target="/xl/worksheets/sheet2.xml" Id="R437202e0cafa4855" /><Relationship Type="http://schemas.openxmlformats.org/officeDocument/2006/relationships/worksheet" Target="/xl/worksheets/sheet3.xml" Id="R14c42b9a293d4588" /><Relationship Type="http://schemas.openxmlformats.org/officeDocument/2006/relationships/worksheet" Target="/xl/worksheets/sheet4.xml" Id="R05a519def6bc46e6" /></Relationships>
</file>

<file path=xl/tables/table1.xml><?xml version="1.0" encoding="utf-8"?>
<x:table xmlns:x="http://schemas.openxmlformats.org/spreadsheetml/2006/main" id="1" name="FunctionalCases" displayName="FunctionalCases" ref="A5:O424" headerRowCount="1" totalsRowCount="0" totalsRowShown="0">
  <x:tableColumns count="15">
    <x:tableColumn id="1" name="用例编号"/>
    <x:tableColumn id="2" name="执行批次"/>
    <x:tableColumn id="3" name="模块"/>
    <x:tableColumn id="4" name="优先级"/>
    <x:tableColumn id="5" name="测试内容"/>
    <x:tableColumn id="6" name="前置条件"/>
    <x:tableColumn id="7" name="操作步骤"/>
    <x:tableColumn id="8" name="预期结果"/>
    <x:tableColumn id="9" name="证据要求"/>
    <x:tableColumn id="10" name="结果状态"/>
    <x:tableColumn id="11" name="实际结果 / 证据位置"/>
    <x:tableColumn id="12" name="缺陷编号"/>
    <x:tableColumn id="13" name="测试人"/>
    <x:tableColumn id="14" name="测试时间"/>
    <x:tableColumn id="15" name="备注 / 不适用理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iCases" displayName="ApiCases" ref="A5:O152" headerRowCount="1" totalsRowCount="0" totalsRowShown="0">
  <x:tableColumns count="15">
    <x:tableColumn id="1" name="用例编号"/>
    <x:tableColumn id="2" name="服务"/>
    <x:tableColumn id="3" name="接口动作"/>
    <x:tableColumn id="4" name="优先级"/>
    <x:tableColumn id="5" name="方法与路径"/>
    <x:tableColumn id="6" name="身份 / 权限"/>
    <x:tableColumn id="7" name="四个子项操作"/>
    <x:tableColumn id="8" name="预期结果"/>
    <x:tableColumn id="9" name="源码位置"/>
    <x:tableColumn id="10" name="结果状态"/>
    <x:tableColumn id="11" name="正常 / 鉴权 / 越权 / 参数结果及证据"/>
    <x:tableColumn id="12" name="缺陷编号"/>
    <x:tableColumn id="13" name="测试人"/>
    <x:tableColumn id="14" name="测试时间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Log" displayName="DefectLog" ref="A5:O55" headerRowCount="1" totalsRowCount="0" totalsRowShown="0">
  <x:tableColumns count="15">
    <x:tableColumn id="1" name="缺陷编号"/>
    <x:tableColumn id="2" name="严重度"/>
    <x:tableColumn id="3" name="关联用例"/>
    <x:tableColumn id="4" name="模块"/>
    <x:tableColumn id="5" name="标题"/>
    <x:tableColumn id="6" name="复现步骤 / 源码依据"/>
    <x:tableColumn id="7" name="预期结果"/>
    <x:tableColumn id="8" name="实际结果"/>
    <x:tableColumn id="9" name="状态"/>
    <x:tableColumn id="10" name="证据位置"/>
    <x:tableColumn id="11" name="处理人"/>
    <x:tableColumn id="12" name="修复版本"/>
    <x:tableColumn id="13" name="复验结果"/>
    <x:tableColumn id="14" name="复验人 / 日期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1af708b64044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480725ccec47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c0f7c8386f4831" /></Relationships>
</file>

<file path=xl/worksheets/sheet1.xml><?xml version="1.0" encoding="utf-8"?>
<x:worksheet xmlns:x="http://schemas.openxmlformats.org/spreadsheetml/2006/main">
  <x:sheetPr>
    <x:tabColor rgb="FF203449"/>
  </x:sheetPr>
  <x:sheetViews>
    <x:sheetView showGridLines="0" workbookViewId="0"/>
  </x:sheetViews>
  <x:sheetFormatPr defaultRowHeight="15"/>
  <x:cols>
    <x:col min="1" max="1" width="32" hidden="0" customWidth="1"/>
    <x:col min="2" max="2" width="34" hidden="0" customWidth="1"/>
    <x:col min="3" max="3" width="9" hidden="0" customWidth="1"/>
    <x:col min="4" max="4" width="17" hidden="0" customWidth="1"/>
    <x:col min="5" max="5" width="14" hidden="0" customWidth="1"/>
    <x:col min="6" max="6" width="16" hidden="0" customWidth="1"/>
    <x:col min="7" max="7" width="16" hidden="0" customWidth="1"/>
    <x:col min="8" max="8" width="19" hidden="0" customWidth="1"/>
    <x:col min="9" max="9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Shinkou Insight 验收进度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2026-10-14 编制。全部用例待执行；先读测试方案，再按批次填写两张用例表。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 t="str">
        <x:v>功能用例</x:v>
      </x:c>
      <x:c r="B5" s="13" t="n">
        <x:f>COUNTA('功能用例'!A6:A424)</x:f>
        <x:v>419</x:v>
      </x:c>
      <x:c r="C5" s="2"/>
      <x:c r="D5" s="2" t="str">
        <x:v>未执行</x:v>
      </x:c>
      <x:c r="E5" s="13" t="n">
        <x:f>COUNTIFS('功能用例'!$J$6:$J$424,D5)+COUNTIFS('接口用例'!$J$6:$J$152,D5)</x:f>
        <x:v>566</x:v>
      </x:c>
      <x:c r="F5" s="2"/>
      <x:c r="G5" s="2"/>
      <x:c r="H5" s="2"/>
      <x:c r="I5" s="2"/>
    </x:row>
    <x:row r="6">
      <x:c r="A6" s="2" t="str">
        <x:v>接口用例</x:v>
      </x:c>
      <x:c r="B6" s="13" t="n">
        <x:f>COUNTA('接口用例'!A6:A152)</x:f>
        <x:v>147</x:v>
      </x:c>
      <x:c r="C6" s="2"/>
      <x:c r="D6" s="2" t="str">
        <x:v>执行中</x:v>
      </x:c>
      <x:c r="E6" s="13" t="n">
        <x:f>COUNTIFS('功能用例'!$J$6:$J$424,D6)+COUNTIFS('接口用例'!$J$6:$J$152,D6)</x:f>
        <x:v>0</x:v>
      </x:c>
      <x:c r="F6" s="2"/>
      <x:c r="G6" s="2"/>
      <x:c r="H6" s="2"/>
      <x:c r="I6" s="2"/>
    </x:row>
    <x:row r="7">
      <x:c r="A7" s="2" t="str">
        <x:v>全部执行记录</x:v>
      </x:c>
      <x:c r="B7" s="13" t="n">
        <x:f>SUM(B5:B6)</x:f>
        <x:v>566</x:v>
      </x:c>
      <x:c r="C7" s="2"/>
      <x:c r="D7" s="2" t="str">
        <x:v>通过</x:v>
      </x:c>
      <x:c r="E7" s="13" t="n">
        <x:f>COUNTIFS('功能用例'!$J$6:$J$424,D7)+COUNTIFS('接口用例'!$J$6:$J$152,D7)</x:f>
        <x:v>0</x:v>
      </x:c>
      <x:c r="F7" s="2"/>
      <x:c r="G7" s="2"/>
      <x:c r="H7" s="2"/>
      <x:c r="I7" s="2"/>
    </x:row>
    <x:row r="8">
      <x:c r="A8" s="2"/>
      <x:c r="B8" s="13"/>
      <x:c r="C8" s="2"/>
      <x:c r="D8" s="2" t="str">
        <x:v>失败</x:v>
      </x:c>
      <x:c r="E8" s="13" t="n">
        <x:f>COUNTIFS('功能用例'!$J$6:$J$424,D8)+COUNTIFS('接口用例'!$J$6:$J$152,D8)</x:f>
        <x:v>0</x:v>
      </x:c>
      <x:c r="F8" s="2"/>
      <x:c r="G8" s="2"/>
      <x:c r="H8" s="2"/>
      <x:c r="I8" s="2"/>
    </x:row>
    <x:row r="9">
      <x:c r="A9" s="2" t="str">
        <x:v>P0 用例总数</x:v>
      </x:c>
      <x:c r="B9" s="13" t="n">
        <x:f>COUNTIFS('功能用例'!D6:D424,"P0")+COUNTIFS('接口用例'!D6:D152,"P0")</x:f>
        <x:v>215</x:v>
      </x:c>
      <x:c r="C9" s="2"/>
      <x:c r="D9" s="2" t="str">
        <x:v>阻塞</x:v>
      </x:c>
      <x:c r="E9" s="13" t="n">
        <x:f>COUNTIFS('功能用例'!$J$6:$J$424,D9)+COUNTIFS('接口用例'!$J$6:$J$152,D9)</x:f>
        <x:v>0</x:v>
      </x:c>
      <x:c r="F9" s="2"/>
      <x:c r="G9" s="2"/>
      <x:c r="H9" s="2"/>
      <x:c r="I9" s="2"/>
    </x:row>
    <x:row r="10">
      <x:c r="A10" s="2" t="str">
        <x:v>P0 尚未通过</x:v>
      </x:c>
      <x:c r="B10" s="13" t="n">
        <x:f>B9-COUNTIFS('功能用例'!D6:D424,"P0",'功能用例'!J6:J424,"通过")-COUNTIFS('接口用例'!D6:D152,"P0",'接口用例'!J6:J152,"通过")</x:f>
        <x:v>215</x:v>
      </x:c>
      <x:c r="C10" s="2"/>
      <x:c r="D10" s="2" t="str">
        <x:v>不适用</x:v>
      </x:c>
      <x:c r="E10" s="13" t="n">
        <x:f>COUNTIFS('功能用例'!$J$6:$J$424,D10)+COUNTIFS('接口用例'!$J$6:$J$152,D10)</x:f>
        <x:v>0</x:v>
      </x:c>
      <x:c r="F10" s="2"/>
      <x:c r="G10" s="2"/>
      <x:c r="H10" s="2"/>
      <x:c r="I10" s="2"/>
    </x:row>
    <x:row r="11">
      <x:c r="A11" s="2" t="str">
        <x:v>状态计数差额</x:v>
      </x:c>
      <x:c r="B11" s="13" t="n">
        <x:f>SUM(E5:E10)-B7</x:f>
        <x:v>0</x:v>
      </x:c>
      <x:c r="C11" s="2"/>
      <x:c r="D11" s="2"/>
      <x:c r="E11" s="2"/>
      <x:c r="F11" s="2"/>
      <x:c r="G11" s="2"/>
      <x:c r="H11" s="2"/>
      <x:c r="I11" s="2"/>
    </x:row>
    <x:row r="12">
      <x:c r="A12" s="2" t="str">
        <x:v>未关闭 S0 / S1</x:v>
      </x:c>
      <x:c r="B12" s="13" t="n">
        <x:f>COUNTIFS('缺陷记录'!B6:B55,"S0",'缺陷记录'!I6:I55,"&lt;&gt;已关闭")+COUNTIFS('缺陷记录'!B6:B55,"S1",'缺陷记录'!I6:I55,"&lt;&gt;已关闭")</x:f>
        <x:v>1</x:v>
      </x:c>
      <x:c r="C12" s="2"/>
      <x:c r="D12" s="2"/>
      <x:c r="E12" s="2"/>
      <x:c r="F12" s="2"/>
      <x:c r="G12" s="2"/>
      <x:c r="H12" s="2"/>
      <x:c r="I12" s="2"/>
    </x:row>
    <x:row r="13" ht="42" customHeight="1">
      <x:c r="A13" s="2" t="str">
        <x:v>记录进度提示</x:v>
      </x:c>
      <x:c r="B13" s="9" t="str">
        <x:f>IF(SUM(E5:E6,E8:E9)&gt;0,"验收未完成",IF(B10&gt;0,"P0 尚未全部通过",IF(B12&gt;0,"存在 S0/S1 未关闭","等待证据复核和上线签署")))</x:f>
        <x:v>验收未完成</x:v>
      </x:c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14" t="str">
        <x:v>模块进度</x:v>
      </x:c>
      <x:c r="B15" s="2"/>
      <x:c r="C15" s="2"/>
      <x:c r="D15" s="2"/>
      <x:c r="E15" s="2"/>
      <x:c r="F15" s="2"/>
      <x:c r="G15" s="2"/>
      <x:c r="H15" s="2"/>
      <x:c r="I15" s="2"/>
    </x:row>
    <x:row r="16" ht="30" customHeight="1">
      <x:c r="A16" s="8" t="str">
        <x:v>模块</x:v>
      </x:c>
      <x:c r="B16" s="8" t="str">
        <x:v>总数</x:v>
      </x:c>
      <x:c r="C16" s="8" t="str">
        <x:v>P0</x:v>
      </x:c>
      <x:c r="D16" s="8" t="str">
        <x:v>通过</x:v>
      </x:c>
      <x:c r="E16" s="8" t="str">
        <x:v>失败</x:v>
      </x:c>
      <x:c r="F16" s="8" t="str">
        <x:v>阻塞</x:v>
      </x:c>
      <x:c r="G16" s="8" t="str">
        <x:v>未执行</x:v>
      </x:c>
      <x:c r="H16" s="8" t="str">
        <x:v>执行中</x:v>
      </x:c>
      <x:c r="I16" s="8" t="str">
        <x:v>不适用</x:v>
      </x:c>
    </x:row>
    <x:row r="17" ht="26" customHeight="1">
      <x:c r="A17" s="9" t="str">
        <x:v>环境与基线</x:v>
      </x:c>
      <x:c r="B17" s="15" t="n">
        <x:f>COUNTIFS('功能用例'!$C$6:$C$424,$A17)</x:f>
        <x:v>12</x:v>
      </x:c>
      <x:c r="C17" s="15" t="n">
        <x:f>COUNTIFS('功能用例'!$C$6:$C$424,$A17,'功能用例'!$D$6:$D$424,"P0")</x:f>
        <x:v>9</x:v>
      </x:c>
      <x:c r="D17" s="15" t="n">
        <x:f>COUNTIFS('功能用例'!$C$6:$C$424,$A17,'功能用例'!$J$6:$J$424,"通过")</x:f>
        <x:v>0</x:v>
      </x:c>
      <x:c r="E17" s="15" t="n">
        <x:f>COUNTIFS('功能用例'!$C$6:$C$424,$A17,'功能用例'!$J$6:$J$424,"失败")</x:f>
        <x:v>0</x:v>
      </x:c>
      <x:c r="F17" s="15" t="n">
        <x:f>COUNTIFS('功能用例'!$C$6:$C$424,$A17,'功能用例'!$J$6:$J$424,"阻塞")</x:f>
        <x:v>0</x:v>
      </x:c>
      <x:c r="G17" s="15" t="n">
        <x:f>COUNTIFS('功能用例'!$C$6:$C$424,$A17,'功能用例'!$J$6:$J$424,"未执行")</x:f>
        <x:v>12</x:v>
      </x:c>
      <x:c r="H17" s="15" t="n">
        <x:f>COUNTIFS('功能用例'!$C$6:$C$424,$A17,'功能用例'!$J$6:$J$424,"执行中")</x:f>
        <x:v>0</x:v>
      </x:c>
      <x:c r="I17" s="15" t="n">
        <x:f>COUNTIFS('功能用例'!$C$6:$C$424,$A17,'功能用例'!$J$6:$J$424,"不适用")</x:f>
        <x:v>0</x:v>
      </x:c>
    </x:row>
    <x:row r="18" ht="26" customHeight="1">
      <x:c r="A18" s="9" t="str">
        <x:v>注册、登录与会话</x:v>
      </x:c>
      <x:c r="B18" s="15" t="n">
        <x:f>COUNTIFS('功能用例'!$C$6:$C$424,$A18)</x:f>
        <x:v>24</x:v>
      </x:c>
      <x:c r="C18" s="15" t="n">
        <x:f>COUNTIFS('功能用例'!$C$6:$C$424,$A18,'功能用例'!$D$6:$D$424,"P0")</x:f>
        <x:v>8</x:v>
      </x:c>
      <x:c r="D18" s="15" t="n">
        <x:f>COUNTIFS('功能用例'!$C$6:$C$424,$A18,'功能用例'!$J$6:$J$424,"通过")</x:f>
        <x:v>0</x:v>
      </x:c>
      <x:c r="E18" s="15" t="n">
        <x:f>COUNTIFS('功能用例'!$C$6:$C$424,$A18,'功能用例'!$J$6:$J$424,"失败")</x:f>
        <x:v>0</x:v>
      </x:c>
      <x:c r="F18" s="15" t="n">
        <x:f>COUNTIFS('功能用例'!$C$6:$C$424,$A18,'功能用例'!$J$6:$J$424,"阻塞")</x:f>
        <x:v>0</x:v>
      </x:c>
      <x:c r="G18" s="15" t="n">
        <x:f>COUNTIFS('功能用例'!$C$6:$C$424,$A18,'功能用例'!$J$6:$J$424,"未执行")</x:f>
        <x:v>24</x:v>
      </x:c>
      <x:c r="H18" s="15" t="n">
        <x:f>COUNTIFS('功能用例'!$C$6:$C$424,$A18,'功能用例'!$J$6:$J$424,"执行中")</x:f>
        <x:v>0</x:v>
      </x:c>
      <x:c r="I18" s="15" t="n">
        <x:f>COUNTIFS('功能用例'!$C$6:$C$424,$A18,'功能用例'!$J$6:$J$424,"不适用")</x:f>
        <x:v>0</x:v>
      </x:c>
    </x:row>
    <x:row r="19" ht="26" customHeight="1">
      <x:c r="A19" s="9" t="str">
        <x:v>工作区与成员</x:v>
      </x:c>
      <x:c r="B19" s="15" t="n">
        <x:f>COUNTIFS('功能用例'!$C$6:$C$424,$A19)</x:f>
        <x:v>14</x:v>
      </x:c>
      <x:c r="C19" s="15" t="n">
        <x:f>COUNTIFS('功能用例'!$C$6:$C$424,$A19,'功能用例'!$D$6:$D$424,"P0")</x:f>
        <x:v>7</x:v>
      </x:c>
      <x:c r="D19" s="15" t="n">
        <x:f>COUNTIFS('功能用例'!$C$6:$C$424,$A19,'功能用例'!$J$6:$J$424,"通过")</x:f>
        <x:v>0</x:v>
      </x:c>
      <x:c r="E19" s="15" t="n">
        <x:f>COUNTIFS('功能用例'!$C$6:$C$424,$A19,'功能用例'!$J$6:$J$424,"失败")</x:f>
        <x:v>0</x:v>
      </x:c>
      <x:c r="F19" s="15" t="n">
        <x:f>COUNTIFS('功能用例'!$C$6:$C$424,$A19,'功能用例'!$J$6:$J$424,"阻塞")</x:f>
        <x:v>0</x:v>
      </x:c>
      <x:c r="G19" s="15" t="n">
        <x:f>COUNTIFS('功能用例'!$C$6:$C$424,$A19,'功能用例'!$J$6:$J$424,"未执行")</x:f>
        <x:v>14</x:v>
      </x:c>
      <x:c r="H19" s="15" t="n">
        <x:f>COUNTIFS('功能用例'!$C$6:$C$424,$A19,'功能用例'!$J$6:$J$424,"执行中")</x:f>
        <x:v>0</x:v>
      </x:c>
      <x:c r="I19" s="15" t="n">
        <x:f>COUNTIFS('功能用例'!$C$6:$C$424,$A19,'功能用例'!$J$6:$J$424,"不适用")</x:f>
        <x:v>0</x:v>
      </x:c>
    </x:row>
    <x:row r="20" ht="26" customHeight="1">
      <x:c r="A20" s="9" t="str">
        <x:v>项目管理</x:v>
      </x:c>
      <x:c r="B20" s="15" t="n">
        <x:f>COUNTIFS('功能用例'!$C$6:$C$424,$A20)</x:f>
        <x:v>12</x:v>
      </x:c>
      <x:c r="C20" s="15" t="n">
        <x:f>COUNTIFS('功能用例'!$C$6:$C$424,$A20,'功能用例'!$D$6:$D$424,"P0")</x:f>
        <x:v>5</x:v>
      </x:c>
      <x:c r="D20" s="15" t="n">
        <x:f>COUNTIFS('功能用例'!$C$6:$C$424,$A20,'功能用例'!$J$6:$J$424,"通过")</x:f>
        <x:v>0</x:v>
      </x:c>
      <x:c r="E20" s="15" t="n">
        <x:f>COUNTIFS('功能用例'!$C$6:$C$424,$A20,'功能用例'!$J$6:$J$424,"失败")</x:f>
        <x:v>0</x:v>
      </x:c>
      <x:c r="F20" s="15" t="n">
        <x:f>COUNTIFS('功能用例'!$C$6:$C$424,$A20,'功能用例'!$J$6:$J$424,"阻塞")</x:f>
        <x:v>0</x:v>
      </x:c>
      <x:c r="G20" s="15" t="n">
        <x:f>COUNTIFS('功能用例'!$C$6:$C$424,$A20,'功能用例'!$J$6:$J$424,"未执行")</x:f>
        <x:v>12</x:v>
      </x:c>
      <x:c r="H20" s="15" t="n">
        <x:f>COUNTIFS('功能用例'!$C$6:$C$424,$A20,'功能用例'!$J$6:$J$424,"执行中")</x:f>
        <x:v>0</x:v>
      </x:c>
      <x:c r="I20" s="15" t="n">
        <x:f>COUNTIFS('功能用例'!$C$6:$C$424,$A20,'功能用例'!$J$6:$J$424,"不适用")</x:f>
        <x:v>0</x:v>
      </x:c>
    </x:row>
    <x:row r="21" ht="26" customHeight="1">
      <x:c r="A21" s="9" t="str">
        <x:v>模型与 Embedding</x:v>
      </x:c>
      <x:c r="B21" s="15" t="n">
        <x:f>COUNTIFS('功能用例'!$C$6:$C$424,$A21)</x:f>
        <x:v>16</x:v>
      </x:c>
      <x:c r="C21" s="15" t="n">
        <x:f>COUNTIFS('功能用例'!$C$6:$C$424,$A21,'功能用例'!$D$6:$D$424,"P0")</x:f>
        <x:v>5</x:v>
      </x:c>
      <x:c r="D21" s="15" t="n">
        <x:f>COUNTIFS('功能用例'!$C$6:$C$424,$A21,'功能用例'!$J$6:$J$424,"通过")</x:f>
        <x:v>0</x:v>
      </x:c>
      <x:c r="E21" s="15" t="n">
        <x:f>COUNTIFS('功能用例'!$C$6:$C$424,$A21,'功能用例'!$J$6:$J$424,"失败")</x:f>
        <x:v>0</x:v>
      </x:c>
      <x:c r="F21" s="15" t="n">
        <x:f>COUNTIFS('功能用例'!$C$6:$C$424,$A21,'功能用例'!$J$6:$J$424,"阻塞")</x:f>
        <x:v>0</x:v>
      </x:c>
      <x:c r="G21" s="15" t="n">
        <x:f>COUNTIFS('功能用例'!$C$6:$C$424,$A21,'功能用例'!$J$6:$J$424,"未执行")</x:f>
        <x:v>16</x:v>
      </x:c>
      <x:c r="H21" s="15" t="n">
        <x:f>COUNTIFS('功能用例'!$C$6:$C$424,$A21,'功能用例'!$J$6:$J$424,"执行中")</x:f>
        <x:v>0</x:v>
      </x:c>
      <x:c r="I21" s="15" t="n">
        <x:f>COUNTIFS('功能用例'!$C$6:$C$424,$A21,'功能用例'!$J$6:$J$424,"不适用")</x:f>
        <x:v>0</x:v>
      </x:c>
    </x:row>
    <x:row r="22" ht="26" customHeight="1">
      <x:c r="A22" s="9" t="str">
        <x:v>工具、连接器与权限策略</x:v>
      </x:c>
      <x:c r="B22" s="15" t="n">
        <x:f>COUNTIFS('功能用例'!$C$6:$C$424,$A22)</x:f>
        <x:v>16</x:v>
      </x:c>
      <x:c r="C22" s="15" t="n">
        <x:f>COUNTIFS('功能用例'!$C$6:$C$424,$A22,'功能用例'!$D$6:$D$424,"P0")</x:f>
        <x:v>4</x:v>
      </x:c>
      <x:c r="D22" s="15" t="n">
        <x:f>COUNTIFS('功能用例'!$C$6:$C$424,$A22,'功能用例'!$J$6:$J$424,"通过")</x:f>
        <x:v>0</x:v>
      </x:c>
      <x:c r="E22" s="15" t="n">
        <x:f>COUNTIFS('功能用例'!$C$6:$C$424,$A22,'功能用例'!$J$6:$J$424,"失败")</x:f>
        <x:v>0</x:v>
      </x:c>
      <x:c r="F22" s="15" t="n">
        <x:f>COUNTIFS('功能用例'!$C$6:$C$424,$A22,'功能用例'!$J$6:$J$424,"阻塞")</x:f>
        <x:v>0</x:v>
      </x:c>
      <x:c r="G22" s="15" t="n">
        <x:f>COUNTIFS('功能用例'!$C$6:$C$424,$A22,'功能用例'!$J$6:$J$424,"未执行")</x:f>
        <x:v>16</x:v>
      </x:c>
      <x:c r="H22" s="15" t="n">
        <x:f>COUNTIFS('功能用例'!$C$6:$C$424,$A22,'功能用例'!$J$6:$J$424,"执行中")</x:f>
        <x:v>0</x:v>
      </x:c>
      <x:c r="I22" s="15" t="n">
        <x:f>COUNTIFS('功能用例'!$C$6:$C$424,$A22,'功能用例'!$J$6:$J$424,"不适用")</x:f>
        <x:v>0</x:v>
      </x:c>
    </x:row>
    <x:row r="23" ht="26" customHeight="1">
      <x:c r="A23" s="9" t="str">
        <x:v>联网搜索与来源验证</x:v>
      </x:c>
      <x:c r="B23" s="15" t="n">
        <x:f>COUNTIFS('功能用例'!$C$6:$C$424,$A23)</x:f>
        <x:v>12</x:v>
      </x:c>
      <x:c r="C23" s="15" t="n">
        <x:f>COUNTIFS('功能用例'!$C$6:$C$424,$A23,'功能用例'!$D$6:$D$424,"P0")</x:f>
        <x:v>4</x:v>
      </x:c>
      <x:c r="D23" s="15" t="n">
        <x:f>COUNTIFS('功能用例'!$C$6:$C$424,$A23,'功能用例'!$J$6:$J$424,"通过")</x:f>
        <x:v>0</x:v>
      </x:c>
      <x:c r="E23" s="15" t="n">
        <x:f>COUNTIFS('功能用例'!$C$6:$C$424,$A23,'功能用例'!$J$6:$J$424,"失败")</x:f>
        <x:v>0</x:v>
      </x:c>
      <x:c r="F23" s="15" t="n">
        <x:f>COUNTIFS('功能用例'!$C$6:$C$424,$A23,'功能用例'!$J$6:$J$424,"阻塞")</x:f>
        <x:v>0</x:v>
      </x:c>
      <x:c r="G23" s="15" t="n">
        <x:f>COUNTIFS('功能用例'!$C$6:$C$424,$A23,'功能用例'!$J$6:$J$424,"未执行")</x:f>
        <x:v>12</x:v>
      </x:c>
      <x:c r="H23" s="15" t="n">
        <x:f>COUNTIFS('功能用例'!$C$6:$C$424,$A23,'功能用例'!$J$6:$J$424,"执行中")</x:f>
        <x:v>0</x:v>
      </x:c>
      <x:c r="I23" s="15" t="n">
        <x:f>COUNTIFS('功能用例'!$C$6:$C$424,$A23,'功能用例'!$J$6:$J$424,"不适用")</x:f>
        <x:v>0</x:v>
      </x:c>
    </x:row>
    <x:row r="24" ht="26" customHeight="1">
      <x:c r="A24" s="9" t="str">
        <x:v>知识资料上传、索引与切分</x:v>
      </x:c>
      <x:c r="B24" s="15" t="n">
        <x:f>COUNTIFS('功能用例'!$C$6:$C$424,$A24)</x:f>
        <x:v>20</x:v>
      </x:c>
      <x:c r="C24" s="15" t="n">
        <x:f>COUNTIFS('功能用例'!$C$6:$C$424,$A24,'功能用例'!$D$6:$D$424,"P0")</x:f>
        <x:v>6</x:v>
      </x:c>
      <x:c r="D24" s="15" t="n">
        <x:f>COUNTIFS('功能用例'!$C$6:$C$424,$A24,'功能用例'!$J$6:$J$424,"通过")</x:f>
        <x:v>0</x:v>
      </x:c>
      <x:c r="E24" s="15" t="n">
        <x:f>COUNTIFS('功能用例'!$C$6:$C$424,$A24,'功能用例'!$J$6:$J$424,"失败")</x:f>
        <x:v>0</x:v>
      </x:c>
      <x:c r="F24" s="15" t="n">
        <x:f>COUNTIFS('功能用例'!$C$6:$C$424,$A24,'功能用例'!$J$6:$J$424,"阻塞")</x:f>
        <x:v>0</x:v>
      </x:c>
      <x:c r="G24" s="15" t="n">
        <x:f>COUNTIFS('功能用例'!$C$6:$C$424,$A24,'功能用例'!$J$6:$J$424,"未执行")</x:f>
        <x:v>20</x:v>
      </x:c>
      <x:c r="H24" s="15" t="n">
        <x:f>COUNTIFS('功能用例'!$C$6:$C$424,$A24,'功能用例'!$J$6:$J$424,"执行中")</x:f>
        <x:v>0</x:v>
      </x:c>
      <x:c r="I24" s="15" t="n">
        <x:f>COUNTIFS('功能用例'!$C$6:$C$424,$A24,'功能用例'!$J$6:$J$424,"不适用")</x:f>
        <x:v>0</x:v>
      </x:c>
    </x:row>
    <x:row r="25" ht="26" customHeight="1">
      <x:c r="A25" s="9" t="str">
        <x:v>文件库与预览</x:v>
      </x:c>
      <x:c r="B25" s="15" t="n">
        <x:f>COUNTIFS('功能用例'!$C$6:$C$424,$A25)</x:f>
        <x:v>8</x:v>
      </x:c>
      <x:c r="C25" s="15" t="n">
        <x:f>COUNTIFS('功能用例'!$C$6:$C$424,$A25,'功能用例'!$D$6:$D$424,"P0")</x:f>
        <x:v>1</x:v>
      </x:c>
      <x:c r="D25" s="15" t="n">
        <x:f>COUNTIFS('功能用例'!$C$6:$C$424,$A25,'功能用例'!$J$6:$J$424,"通过")</x:f>
        <x:v>0</x:v>
      </x:c>
      <x:c r="E25" s="15" t="n">
        <x:f>COUNTIFS('功能用例'!$C$6:$C$424,$A25,'功能用例'!$J$6:$J$424,"失败")</x:f>
        <x:v>0</x:v>
      </x:c>
      <x:c r="F25" s="15" t="n">
        <x:f>COUNTIFS('功能用例'!$C$6:$C$424,$A25,'功能用例'!$J$6:$J$424,"阻塞")</x:f>
        <x:v>0</x:v>
      </x:c>
      <x:c r="G25" s="15" t="n">
        <x:f>COUNTIFS('功能用例'!$C$6:$C$424,$A25,'功能用例'!$J$6:$J$424,"未执行")</x:f>
        <x:v>8</x:v>
      </x:c>
      <x:c r="H25" s="15" t="n">
        <x:f>COUNTIFS('功能用例'!$C$6:$C$424,$A25,'功能用例'!$J$6:$J$424,"执行中")</x:f>
        <x:v>0</x:v>
      </x:c>
      <x:c r="I25" s="15" t="n">
        <x:f>COUNTIFS('功能用例'!$C$6:$C$424,$A25,'功能用例'!$J$6:$J$424,"不适用")</x:f>
        <x:v>0</x:v>
      </x:c>
    </x:row>
    <x:row r="26" ht="26" customHeight="1">
      <x:c r="A26" s="9" t="str">
        <x:v>检索与知识问答</x:v>
      </x:c>
      <x:c r="B26" s="15" t="n">
        <x:f>COUNTIFS('功能用例'!$C$6:$C$424,$A26)</x:f>
        <x:v>19</x:v>
      </x:c>
      <x:c r="C26" s="15" t="n">
        <x:f>COUNTIFS('功能用例'!$C$6:$C$424,$A26,'功能用例'!$D$6:$D$424,"P0")</x:f>
        <x:v>9</x:v>
      </x:c>
      <x:c r="D26" s="15" t="n">
        <x:f>COUNTIFS('功能用例'!$C$6:$C$424,$A26,'功能用例'!$J$6:$J$424,"通过")</x:f>
        <x:v>0</x:v>
      </x:c>
      <x:c r="E26" s="15" t="n">
        <x:f>COUNTIFS('功能用例'!$C$6:$C$424,$A26,'功能用例'!$J$6:$J$424,"失败")</x:f>
        <x:v>0</x:v>
      </x:c>
      <x:c r="F26" s="15" t="n">
        <x:f>COUNTIFS('功能用例'!$C$6:$C$424,$A26,'功能用例'!$J$6:$J$424,"阻塞")</x:f>
        <x:v>0</x:v>
      </x:c>
      <x:c r="G26" s="15" t="n">
        <x:f>COUNTIFS('功能用例'!$C$6:$C$424,$A26,'功能用例'!$J$6:$J$424,"未执行")</x:f>
        <x:v>19</x:v>
      </x:c>
      <x:c r="H26" s="15" t="n">
        <x:f>COUNTIFS('功能用例'!$C$6:$C$424,$A26,'功能用例'!$J$6:$J$424,"执行中")</x:f>
        <x:v>0</x:v>
      </x:c>
      <x:c r="I26" s="15" t="n">
        <x:f>COUNTIFS('功能用例'!$C$6:$C$424,$A26,'功能用例'!$J$6:$J$424,"不适用")</x:f>
        <x:v>0</x:v>
      </x:c>
    </x:row>
    <x:row r="27" ht="26" customHeight="1">
      <x:c r="A27" s="9" t="str">
        <x:v>Agent 对话工作台</x:v>
      </x:c>
      <x:c r="B27" s="15" t="n">
        <x:f>COUNTIFS('功能用例'!$C$6:$C$424,$A27)</x:f>
        <x:v>31</x:v>
      </x:c>
      <x:c r="C27" s="15" t="n">
        <x:f>COUNTIFS('功能用例'!$C$6:$C$424,$A27,'功能用例'!$D$6:$D$424,"P0")</x:f>
        <x:v>12</x:v>
      </x:c>
      <x:c r="D27" s="15" t="n">
        <x:f>COUNTIFS('功能用例'!$C$6:$C$424,$A27,'功能用例'!$J$6:$J$424,"通过")</x:f>
        <x:v>0</x:v>
      </x:c>
      <x:c r="E27" s="15" t="n">
        <x:f>COUNTIFS('功能用例'!$C$6:$C$424,$A27,'功能用例'!$J$6:$J$424,"失败")</x:f>
        <x:v>0</x:v>
      </x:c>
      <x:c r="F27" s="15" t="n">
        <x:f>COUNTIFS('功能用例'!$C$6:$C$424,$A27,'功能用例'!$J$6:$J$424,"阻塞")</x:f>
        <x:v>0</x:v>
      </x:c>
      <x:c r="G27" s="15" t="n">
        <x:f>COUNTIFS('功能用例'!$C$6:$C$424,$A27,'功能用例'!$J$6:$J$424,"未执行")</x:f>
        <x:v>31</x:v>
      </x:c>
      <x:c r="H27" s="15" t="n">
        <x:f>COUNTIFS('功能用例'!$C$6:$C$424,$A27,'功能用例'!$J$6:$J$424,"执行中")</x:f>
        <x:v>0</x:v>
      </x:c>
      <x:c r="I27" s="15" t="n">
        <x:f>COUNTIFS('功能用例'!$C$6:$C$424,$A27,'功能用例'!$J$6:$J$424,"不适用")</x:f>
        <x:v>0</x:v>
      </x:c>
    </x:row>
    <x:row r="28" ht="26" customHeight="1">
      <x:c r="A28" s="9" t="str">
        <x:v>项目规划与发起研究</x:v>
      </x:c>
      <x:c r="B28" s="15" t="n">
        <x:f>COUNTIFS('功能用例'!$C$6:$C$424,$A28)</x:f>
        <x:v>8</x:v>
      </x:c>
      <x:c r="C28" s="15" t="n">
        <x:f>COUNTIFS('功能用例'!$C$6:$C$424,$A28,'功能用例'!$D$6:$D$424,"P0")</x:f>
        <x:v>2</x:v>
      </x:c>
      <x:c r="D28" s="15" t="n">
        <x:f>COUNTIFS('功能用例'!$C$6:$C$424,$A28,'功能用例'!$J$6:$J$424,"通过")</x:f>
        <x:v>0</x:v>
      </x:c>
      <x:c r="E28" s="15" t="n">
        <x:f>COUNTIFS('功能用例'!$C$6:$C$424,$A28,'功能用例'!$J$6:$J$424,"失败")</x:f>
        <x:v>0</x:v>
      </x:c>
      <x:c r="F28" s="15" t="n">
        <x:f>COUNTIFS('功能用例'!$C$6:$C$424,$A28,'功能用例'!$J$6:$J$424,"阻塞")</x:f>
        <x:v>0</x:v>
      </x:c>
      <x:c r="G28" s="15" t="n">
        <x:f>COUNTIFS('功能用例'!$C$6:$C$424,$A28,'功能用例'!$J$6:$J$424,"未执行")</x:f>
        <x:v>8</x:v>
      </x:c>
      <x:c r="H28" s="15" t="n">
        <x:f>COUNTIFS('功能用例'!$C$6:$C$424,$A28,'功能用例'!$J$6:$J$424,"执行中")</x:f>
        <x:v>0</x:v>
      </x:c>
      <x:c r="I28" s="15" t="n">
        <x:f>COUNTIFS('功能用例'!$C$6:$C$424,$A28,'功能用例'!$J$6:$J$424,"不适用")</x:f>
        <x:v>0</x:v>
      </x:c>
    </x:row>
    <x:row r="29" ht="26" customHeight="1">
      <x:c r="A29" s="9" t="str">
        <x:v>研究运行、计划与恢复</x:v>
      </x:c>
      <x:c r="B29" s="15" t="n">
        <x:f>COUNTIFS('功能用例'!$C$6:$C$424,$A29)</x:f>
        <x:v>21</x:v>
      </x:c>
      <x:c r="C29" s="15" t="n">
        <x:f>COUNTIFS('功能用例'!$C$6:$C$424,$A29,'功能用例'!$D$6:$D$424,"P0")</x:f>
        <x:v>6</x:v>
      </x:c>
      <x:c r="D29" s="15" t="n">
        <x:f>COUNTIFS('功能用例'!$C$6:$C$424,$A29,'功能用例'!$J$6:$J$424,"通过")</x:f>
        <x:v>0</x:v>
      </x:c>
      <x:c r="E29" s="15" t="n">
        <x:f>COUNTIFS('功能用例'!$C$6:$C$424,$A29,'功能用例'!$J$6:$J$424,"失败")</x:f>
        <x:v>0</x:v>
      </x:c>
      <x:c r="F29" s="15" t="n">
        <x:f>COUNTIFS('功能用例'!$C$6:$C$424,$A29,'功能用例'!$J$6:$J$424,"阻塞")</x:f>
        <x:v>0</x:v>
      </x:c>
      <x:c r="G29" s="15" t="n">
        <x:f>COUNTIFS('功能用例'!$C$6:$C$424,$A29,'功能用例'!$J$6:$J$424,"未执行")</x:f>
        <x:v>21</x:v>
      </x:c>
      <x:c r="H29" s="15" t="n">
        <x:f>COUNTIFS('功能用例'!$C$6:$C$424,$A29,'功能用例'!$J$6:$J$424,"执行中")</x:f>
        <x:v>0</x:v>
      </x:c>
      <x:c r="I29" s="15" t="n">
        <x:f>COUNTIFS('功能用例'!$C$6:$C$424,$A29,'功能用例'!$J$6:$J$424,"不适用")</x:f>
        <x:v>0</x:v>
      </x:c>
    </x:row>
    <x:row r="30" ht="26" customHeight="1">
      <x:c r="A30" s="9" t="str">
        <x:v>报告、审查与行动闭环</x:v>
      </x:c>
      <x:c r="B30" s="15" t="n">
        <x:f>COUNTIFS('功能用例'!$C$6:$C$424,$A30)</x:f>
        <x:v>20</x:v>
      </x:c>
      <x:c r="C30" s="15" t="n">
        <x:f>COUNTIFS('功能用例'!$C$6:$C$424,$A30,'功能用例'!$D$6:$D$424,"P0")</x:f>
        <x:v>8</x:v>
      </x:c>
      <x:c r="D30" s="15" t="n">
        <x:f>COUNTIFS('功能用例'!$C$6:$C$424,$A30,'功能用例'!$J$6:$J$424,"通过")</x:f>
        <x:v>0</x:v>
      </x:c>
      <x:c r="E30" s="15" t="n">
        <x:f>COUNTIFS('功能用例'!$C$6:$C$424,$A30,'功能用例'!$J$6:$J$424,"失败")</x:f>
        <x:v>0</x:v>
      </x:c>
      <x:c r="F30" s="15" t="n">
        <x:f>COUNTIFS('功能用例'!$C$6:$C$424,$A30,'功能用例'!$J$6:$J$424,"阻塞")</x:f>
        <x:v>0</x:v>
      </x:c>
      <x:c r="G30" s="15" t="n">
        <x:f>COUNTIFS('功能用例'!$C$6:$C$424,$A30,'功能用例'!$J$6:$J$424,"未执行")</x:f>
        <x:v>20</x:v>
      </x:c>
      <x:c r="H30" s="15" t="n">
        <x:f>COUNTIFS('功能用例'!$C$6:$C$424,$A30,'功能用例'!$J$6:$J$424,"执行中")</x:f>
        <x:v>0</x:v>
      </x:c>
      <x:c r="I30" s="15" t="n">
        <x:f>COUNTIFS('功能用例'!$C$6:$C$424,$A30,'功能用例'!$J$6:$J$424,"不适用")</x:f>
        <x:v>0</x:v>
      </x:c>
    </x:row>
    <x:row r="31" ht="26" customHeight="1">
      <x:c r="A31" s="9" t="str">
        <x:v>评估与质量验证</x:v>
      </x:c>
      <x:c r="B31" s="15" t="n">
        <x:f>COUNTIFS('功能用例'!$C$6:$C$424,$A31)</x:f>
        <x:v>14</x:v>
      </x:c>
      <x:c r="C31" s="15" t="n">
        <x:f>COUNTIFS('功能用例'!$C$6:$C$424,$A31,'功能用例'!$D$6:$D$424,"P0")</x:f>
        <x:v>5</x:v>
      </x:c>
      <x:c r="D31" s="15" t="n">
        <x:f>COUNTIFS('功能用例'!$C$6:$C$424,$A31,'功能用例'!$J$6:$J$424,"通过")</x:f>
        <x:v>0</x:v>
      </x:c>
      <x:c r="E31" s="15" t="n">
        <x:f>COUNTIFS('功能用例'!$C$6:$C$424,$A31,'功能用例'!$J$6:$J$424,"失败")</x:f>
        <x:v>0</x:v>
      </x:c>
      <x:c r="F31" s="15" t="n">
        <x:f>COUNTIFS('功能用例'!$C$6:$C$424,$A31,'功能用例'!$J$6:$J$424,"阻塞")</x:f>
        <x:v>0</x:v>
      </x:c>
      <x:c r="G31" s="15" t="n">
        <x:f>COUNTIFS('功能用例'!$C$6:$C$424,$A31,'功能用例'!$J$6:$J$424,"未执行")</x:f>
        <x:v>14</x:v>
      </x:c>
      <x:c r="H31" s="15" t="n">
        <x:f>COUNTIFS('功能用例'!$C$6:$C$424,$A31,'功能用例'!$J$6:$J$424,"执行中")</x:f>
        <x:v>0</x:v>
      </x:c>
      <x:c r="I31" s="15" t="n">
        <x:f>COUNTIFS('功能用例'!$C$6:$C$424,$A31,'功能用例'!$J$6:$J$424,"不适用")</x:f>
        <x:v>0</x:v>
      </x:c>
    </x:row>
    <x:row r="32" ht="26" customHeight="1">
      <x:c r="A32" s="9" t="str">
        <x:v>工作区统计、通知与账户设置</x:v>
      </x:c>
      <x:c r="B32" s="15" t="n">
        <x:f>COUNTIFS('功能用例'!$C$6:$C$424,$A32)</x:f>
        <x:v>16</x:v>
      </x:c>
      <x:c r="C32" s="15" t="n">
        <x:f>COUNTIFS('功能用例'!$C$6:$C$424,$A32,'功能用例'!$D$6:$D$424,"P0")</x:f>
        <x:v>3</x:v>
      </x:c>
      <x:c r="D32" s="15" t="n">
        <x:f>COUNTIFS('功能用例'!$C$6:$C$424,$A32,'功能用例'!$J$6:$J$424,"通过")</x:f>
        <x:v>0</x:v>
      </x:c>
      <x:c r="E32" s="15" t="n">
        <x:f>COUNTIFS('功能用例'!$C$6:$C$424,$A32,'功能用例'!$J$6:$J$424,"失败")</x:f>
        <x:v>0</x:v>
      </x:c>
      <x:c r="F32" s="15" t="n">
        <x:f>COUNTIFS('功能用例'!$C$6:$C$424,$A32,'功能用例'!$J$6:$J$424,"阻塞")</x:f>
        <x:v>0</x:v>
      </x:c>
      <x:c r="G32" s="15" t="n">
        <x:f>COUNTIFS('功能用例'!$C$6:$C$424,$A32,'功能用例'!$J$6:$J$424,"未执行")</x:f>
        <x:v>16</x:v>
      </x:c>
      <x:c r="H32" s="15" t="n">
        <x:f>COUNTIFS('功能用例'!$C$6:$C$424,$A32,'功能用例'!$J$6:$J$424,"执行中")</x:f>
        <x:v>0</x:v>
      </x:c>
      <x:c r="I32" s="15" t="n">
        <x:f>COUNTIFS('功能用例'!$C$6:$C$424,$A32,'功能用例'!$J$6:$J$424,"不适用")</x:f>
        <x:v>0</x:v>
      </x:c>
    </x:row>
    <x:row r="33" ht="26" customHeight="1">
      <x:c r="A33" s="9" t="str">
        <x:v>鉴权、数据隔离与输入安全</x:v>
      </x:c>
      <x:c r="B33" s="15" t="n">
        <x:f>COUNTIFS('功能用例'!$C$6:$C$424,$A33)</x:f>
        <x:v>17</x:v>
      </x:c>
      <x:c r="C33" s="15" t="n">
        <x:f>COUNTIFS('功能用例'!$C$6:$C$424,$A33,'功能用例'!$D$6:$D$424,"P0")</x:f>
        <x:v>14</x:v>
      </x:c>
      <x:c r="D33" s="15" t="n">
        <x:f>COUNTIFS('功能用例'!$C$6:$C$424,$A33,'功能用例'!$J$6:$J$424,"通过")</x:f>
        <x:v>0</x:v>
      </x:c>
      <x:c r="E33" s="15" t="n">
        <x:f>COUNTIFS('功能用例'!$C$6:$C$424,$A33,'功能用例'!$J$6:$J$424,"失败")</x:f>
        <x:v>0</x:v>
      </x:c>
      <x:c r="F33" s="15" t="n">
        <x:f>COUNTIFS('功能用例'!$C$6:$C$424,$A33,'功能用例'!$J$6:$J$424,"阻塞")</x:f>
        <x:v>0</x:v>
      </x:c>
      <x:c r="G33" s="15" t="n">
        <x:f>COUNTIFS('功能用例'!$C$6:$C$424,$A33,'功能用例'!$J$6:$J$424,"未执行")</x:f>
        <x:v>17</x:v>
      </x:c>
      <x:c r="H33" s="15" t="n">
        <x:f>COUNTIFS('功能用例'!$C$6:$C$424,$A33,'功能用例'!$J$6:$J$424,"执行中")</x:f>
        <x:v>0</x:v>
      </x:c>
      <x:c r="I33" s="15" t="n">
        <x:f>COUNTIFS('功能用例'!$C$6:$C$424,$A33,'功能用例'!$J$6:$J$424,"不适用")</x:f>
        <x:v>0</x:v>
      </x:c>
    </x:row>
    <x:row r="34" ht="26" customHeight="1">
      <x:c r="A34" s="9" t="str">
        <x:v>队列、缓存、持久化与上线运行</x:v>
      </x:c>
      <x:c r="B34" s="15" t="n">
        <x:f>COUNTIFS('功能用例'!$C$6:$C$424,$A34)</x:f>
        <x:v>22</x:v>
      </x:c>
      <x:c r="C34" s="15" t="n">
        <x:f>COUNTIFS('功能用例'!$C$6:$C$424,$A34,'功能用例'!$D$6:$D$424,"P0")</x:f>
        <x:v>12</x:v>
      </x:c>
      <x:c r="D34" s="15" t="n">
        <x:f>COUNTIFS('功能用例'!$C$6:$C$424,$A34,'功能用例'!$J$6:$J$424,"通过")</x:f>
        <x:v>0</x:v>
      </x:c>
      <x:c r="E34" s="15" t="n">
        <x:f>COUNTIFS('功能用例'!$C$6:$C$424,$A34,'功能用例'!$J$6:$J$424,"失败")</x:f>
        <x:v>0</x:v>
      </x:c>
      <x:c r="F34" s="15" t="n">
        <x:f>COUNTIFS('功能用例'!$C$6:$C$424,$A34,'功能用例'!$J$6:$J$424,"阻塞")</x:f>
        <x:v>0</x:v>
      </x:c>
      <x:c r="G34" s="15" t="n">
        <x:f>COUNTIFS('功能用例'!$C$6:$C$424,$A34,'功能用例'!$J$6:$J$424,"未执行")</x:f>
        <x:v>22</x:v>
      </x:c>
      <x:c r="H34" s="15" t="n">
        <x:f>COUNTIFS('功能用例'!$C$6:$C$424,$A34,'功能用例'!$J$6:$J$424,"执行中")</x:f>
        <x:v>0</x:v>
      </x:c>
      <x:c r="I34" s="15" t="n">
        <x:f>COUNTIFS('功能用例'!$C$6:$C$424,$A34,'功能用例'!$J$6:$J$424,"不适用")</x:f>
        <x:v>0</x:v>
      </x:c>
    </x:row>
    <x:row r="35" ht="26" customHeight="1">
      <x:c r="A35" s="9" t="str">
        <x:v>性能、稳定性与兼容性</x:v>
      </x:c>
      <x:c r="B35" s="15" t="n">
        <x:f>COUNTIFS('功能用例'!$C$6:$C$424,$A35)</x:f>
        <x:v>8</x:v>
      </x:c>
      <x:c r="C35" s="15" t="n">
        <x:f>COUNTIFS('功能用例'!$C$6:$C$424,$A35,'功能用例'!$D$6:$D$424,"P0")</x:f>
        <x:v>1</x:v>
      </x:c>
      <x:c r="D35" s="15" t="n">
        <x:f>COUNTIFS('功能用例'!$C$6:$C$424,$A35,'功能用例'!$J$6:$J$424,"通过")</x:f>
        <x:v>0</x:v>
      </x:c>
      <x:c r="E35" s="15" t="n">
        <x:f>COUNTIFS('功能用例'!$C$6:$C$424,$A35,'功能用例'!$J$6:$J$424,"失败")</x:f>
        <x:v>0</x:v>
      </x:c>
      <x:c r="F35" s="15" t="n">
        <x:f>COUNTIFS('功能用例'!$C$6:$C$424,$A35,'功能用例'!$J$6:$J$424,"阻塞")</x:f>
        <x:v>0</x:v>
      </x:c>
      <x:c r="G35" s="15" t="n">
        <x:f>COUNTIFS('功能用例'!$C$6:$C$424,$A35,'功能用例'!$J$6:$J$424,"未执行")</x:f>
        <x:v>8</x:v>
      </x:c>
      <x:c r="H35" s="15" t="n">
        <x:f>COUNTIFS('功能用例'!$C$6:$C$424,$A35,'功能用例'!$J$6:$J$424,"执行中")</x:f>
        <x:v>0</x:v>
      </x:c>
      <x:c r="I35" s="15" t="n">
        <x:f>COUNTIFS('功能用例'!$C$6:$C$424,$A35,'功能用例'!$J$6:$J$424,"不适用")</x:f>
        <x:v>0</x:v>
      </x:c>
    </x:row>
    <x:row r="36" ht="26" customHeight="1">
      <x:c r="A36" s="9" t="str">
        <x:v>核心流程端到端验收</x:v>
      </x:c>
      <x:c r="B36" s="15" t="n">
        <x:f>COUNTIFS('功能用例'!$C$6:$C$424,$A36)</x:f>
        <x:v>10</x:v>
      </x:c>
      <x:c r="C36" s="15" t="n">
        <x:f>COUNTIFS('功能用例'!$C$6:$C$424,$A36,'功能用例'!$D$6:$D$424,"P0")</x:f>
        <x:v>10</x:v>
      </x:c>
      <x:c r="D36" s="15" t="n">
        <x:f>COUNTIFS('功能用例'!$C$6:$C$424,$A36,'功能用例'!$J$6:$J$424,"通过")</x:f>
        <x:v>0</x:v>
      </x:c>
      <x:c r="E36" s="15" t="n">
        <x:f>COUNTIFS('功能用例'!$C$6:$C$424,$A36,'功能用例'!$J$6:$J$424,"失败")</x:f>
        <x:v>0</x:v>
      </x:c>
      <x:c r="F36" s="15" t="n">
        <x:f>COUNTIFS('功能用例'!$C$6:$C$424,$A36,'功能用例'!$J$6:$J$424,"阻塞")</x:f>
        <x:v>0</x:v>
      </x:c>
      <x:c r="G36" s="15" t="n">
        <x:f>COUNTIFS('功能用例'!$C$6:$C$424,$A36,'功能用例'!$J$6:$J$424,"未执行")</x:f>
        <x:v>10</x:v>
      </x:c>
      <x:c r="H36" s="15" t="n">
        <x:f>COUNTIFS('功能用例'!$C$6:$C$424,$A36,'功能用例'!$J$6:$J$424,"执行中")</x:f>
        <x:v>0</x:v>
      </x:c>
      <x:c r="I36" s="15" t="n">
        <x:f>COUNTIFS('功能用例'!$C$6:$C$424,$A36,'功能用例'!$J$6:$J$424,"不适用")</x:f>
        <x:v>0</x:v>
      </x:c>
    </x:row>
    <x:row r="37" ht="26" customHeight="1">
      <x:c r="A37" s="9" t="str">
        <x:v>核心主流程逐步记录</x:v>
      </x:c>
      <x:c r="B37" s="15" t="n">
        <x:f>COUNTIFS('功能用例'!$C$6:$C$424,$A37)</x:f>
        <x:v>22</x:v>
      </x:c>
      <x:c r="C37" s="15" t="n">
        <x:f>COUNTIFS('功能用例'!$C$6:$C$424,$A37,'功能用例'!$D$6:$D$424,"P0")</x:f>
        <x:v>22</x:v>
      </x:c>
      <x:c r="D37" s="15" t="n">
        <x:f>COUNTIFS('功能用例'!$C$6:$C$424,$A37,'功能用例'!$J$6:$J$424,"通过")</x:f>
        <x:v>0</x:v>
      </x:c>
      <x:c r="E37" s="15" t="n">
        <x:f>COUNTIFS('功能用例'!$C$6:$C$424,$A37,'功能用例'!$J$6:$J$424,"失败")</x:f>
        <x:v>0</x:v>
      </x:c>
      <x:c r="F37" s="15" t="n">
        <x:f>COUNTIFS('功能用例'!$C$6:$C$424,$A37,'功能用例'!$J$6:$J$424,"阻塞")</x:f>
        <x:v>0</x:v>
      </x:c>
      <x:c r="G37" s="15" t="n">
        <x:f>COUNTIFS('功能用例'!$C$6:$C$424,$A37,'功能用例'!$J$6:$J$424,"未执行")</x:f>
        <x:v>22</x:v>
      </x:c>
      <x:c r="H37" s="15" t="n">
        <x:f>COUNTIFS('功能用例'!$C$6:$C$424,$A37,'功能用例'!$J$6:$J$424,"执行中")</x:f>
        <x:v>0</x:v>
      </x:c>
      <x:c r="I37" s="15" t="n">
        <x:f>COUNTIFS('功能用例'!$C$6:$C$424,$A37,'功能用例'!$J$6:$J$424,"不适用")</x:f>
        <x:v>0</x:v>
      </x:c>
    </x:row>
    <x:row r="38" ht="26" customHeight="1">
      <x:c r="A38" s="9" t="str">
        <x:v>所有支持文件格式</x:v>
      </x:c>
      <x:c r="B38" s="15" t="n">
        <x:f>COUNTIFS('功能用例'!$C$6:$C$424,$A38)</x:f>
        <x:v>40</x:v>
      </x:c>
      <x:c r="C38" s="15" t="n">
        <x:f>COUNTIFS('功能用例'!$C$6:$C$424,$A38,'功能用例'!$D$6:$D$424,"P0")</x:f>
        <x:v>0</x:v>
      </x:c>
      <x:c r="D38" s="15" t="n">
        <x:f>COUNTIFS('功能用例'!$C$6:$C$424,$A38,'功能用例'!$J$6:$J$424,"通过")</x:f>
        <x:v>0</x:v>
      </x:c>
      <x:c r="E38" s="15" t="n">
        <x:f>COUNTIFS('功能用例'!$C$6:$C$424,$A38,'功能用例'!$J$6:$J$424,"失败")</x:f>
        <x:v>0</x:v>
      </x:c>
      <x:c r="F38" s="15" t="n">
        <x:f>COUNTIFS('功能用例'!$C$6:$C$424,$A38,'功能用例'!$J$6:$J$424,"阻塞")</x:f>
        <x:v>0</x:v>
      </x:c>
      <x:c r="G38" s="15" t="n">
        <x:f>COUNTIFS('功能用例'!$C$6:$C$424,$A38,'功能用例'!$J$6:$J$424,"未执行")</x:f>
        <x:v>40</x:v>
      </x:c>
      <x:c r="H38" s="15" t="n">
        <x:f>COUNTIFS('功能用例'!$C$6:$C$424,$A38,'功能用例'!$J$6:$J$424,"执行中")</x:f>
        <x:v>0</x:v>
      </x:c>
      <x:c r="I38" s="15" t="n">
        <x:f>COUNTIFS('功能用例'!$C$6:$C$424,$A38,'功能用例'!$J$6:$J$424,"不适用")</x:f>
        <x:v>0</x:v>
      </x:c>
    </x:row>
    <x:row r="39" ht="26" customHeight="1">
      <x:c r="A39" s="9" t="str">
        <x:v>复杂文件与原生文档生成</x:v>
      </x:c>
      <x:c r="B39" s="15" t="n">
        <x:f>COUNTIFS('功能用例'!$C$6:$C$424,$A39)</x:f>
        <x:v>11</x:v>
      </x:c>
      <x:c r="C39" s="15" t="n">
        <x:f>COUNTIFS('功能用例'!$C$6:$C$424,$A39,'功能用例'!$D$6:$D$424,"P0")</x:f>
        <x:v>1</x:v>
      </x:c>
      <x:c r="D39" s="15" t="n">
        <x:f>COUNTIFS('功能用例'!$C$6:$C$424,$A39,'功能用例'!$J$6:$J$424,"通过")</x:f>
        <x:v>0</x:v>
      </x:c>
      <x:c r="E39" s="15" t="n">
        <x:f>COUNTIFS('功能用例'!$C$6:$C$424,$A39,'功能用例'!$J$6:$J$424,"失败")</x:f>
        <x:v>0</x:v>
      </x:c>
      <x:c r="F39" s="15" t="n">
        <x:f>COUNTIFS('功能用例'!$C$6:$C$424,$A39,'功能用例'!$J$6:$J$424,"阻塞")</x:f>
        <x:v>0</x:v>
      </x:c>
      <x:c r="G39" s="15" t="n">
        <x:f>COUNTIFS('功能用例'!$C$6:$C$424,$A39,'功能用例'!$J$6:$J$424,"未执行")</x:f>
        <x:v>11</x:v>
      </x:c>
      <x:c r="H39" s="15" t="n">
        <x:f>COUNTIFS('功能用例'!$C$6:$C$424,$A39,'功能用例'!$J$6:$J$424,"执行中")</x:f>
        <x:v>0</x:v>
      </x:c>
      <x:c r="I39" s="15" t="n">
        <x:f>COUNTIFS('功能用例'!$C$6:$C$424,$A39,'功能用例'!$J$6:$J$424,"不适用")</x:f>
        <x:v>0</x:v>
      </x:c>
    </x:row>
    <x:row r="40" ht="26" customHeight="1">
      <x:c r="A40" s="9" t="str">
        <x:v>全部页面通用验收</x:v>
      </x:c>
      <x:c r="B40" s="15" t="n">
        <x:f>COUNTIFS('功能用例'!$C$6:$C$424,$A40)</x:f>
        <x:v>26</x:v>
      </x:c>
      <x:c r="C40" s="15" t="n">
        <x:f>COUNTIFS('功能用例'!$C$6:$C$424,$A40,'功能用例'!$D$6:$D$424,"P0")</x:f>
        <x:v>0</x:v>
      </x:c>
      <x:c r="D40" s="15" t="n">
        <x:f>COUNTIFS('功能用例'!$C$6:$C$424,$A40,'功能用例'!$J$6:$J$424,"通过")</x:f>
        <x:v>0</x:v>
      </x:c>
      <x:c r="E40" s="15" t="n">
        <x:f>COUNTIFS('功能用例'!$C$6:$C$424,$A40,'功能用例'!$J$6:$J$424,"失败")</x:f>
        <x:v>0</x:v>
      </x:c>
      <x:c r="F40" s="15" t="n">
        <x:f>COUNTIFS('功能用例'!$C$6:$C$424,$A40,'功能用例'!$J$6:$J$424,"阻塞")</x:f>
        <x:v>0</x:v>
      </x:c>
      <x:c r="G40" s="15" t="n">
        <x:f>COUNTIFS('功能用例'!$C$6:$C$424,$A40,'功能用例'!$J$6:$J$424,"未执行")</x:f>
        <x:v>26</x:v>
      </x:c>
      <x:c r="H40" s="15" t="n">
        <x:f>COUNTIFS('功能用例'!$C$6:$C$424,$A40,'功能用例'!$J$6:$J$424,"执行中")</x:f>
        <x:v>0</x:v>
      </x:c>
      <x:c r="I40" s="15" t="n">
        <x:f>COUNTIFS('功能用例'!$C$6:$C$424,$A40,'功能用例'!$J$6:$J$424,"不适用")</x:f>
        <x:v>0</x:v>
      </x:c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14" t="str">
        <x:v>环境与反馈记录（黄色单元格填写）</x:v>
      </x:c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38" customHeight="1">
      <x:c r="A44" s="2" t="str">
        <x:v>测试人 / 执行日期</x:v>
      </x:c>
      <x:c r="B44" s="17"/>
      <x:c r="C44" s="2"/>
      <x:c r="D44" s="18" t="str">
        <x:v>已知差异详见方案第5节：短信未实际发送；审查待签署；导出格式需区分页面与工具；评估仅检索；帮助反馈本地状态。</x:v>
      </x:c>
      <x:c r="E44" s="19"/>
      <x:c r="F44" s="19"/>
      <x:c r="G44" s="19"/>
      <x:c r="H44" s="19"/>
      <x:c r="I44" s="19"/>
    </x:row>
    <x:row r="45" ht="38" customHeight="1">
      <x:c r="A45" s="2" t="str">
        <x:v>实际 commit / 构建版本</x:v>
      </x:c>
      <x:c r="B45" s="17"/>
      <x:c r="C45" s="2"/>
      <x:c r="D45" s="19"/>
      <x:c r="E45" s="19"/>
      <x:c r="F45" s="19"/>
      <x:c r="G45" s="19"/>
      <x:c r="H45" s="19"/>
      <x:c r="I45" s="19"/>
    </x:row>
    <x:row r="46" ht="38" customHeight="1">
      <x:c r="A46" s="2" t="str">
        <x:v>工作树 / 配置基线</x:v>
      </x:c>
      <x:c r="B46" s="17"/>
      <x:c r="C46" s="2"/>
      <x:c r="D46" s="19"/>
      <x:c r="E46" s="19"/>
      <x:c r="F46" s="19"/>
      <x:c r="G46" s="19"/>
      <x:c r="H46" s="19"/>
      <x:c r="I46" s="19"/>
    </x:row>
    <x:row r="47" ht="38" customHeight="1">
      <x:c r="A47" s="2" t="str">
        <x:v>本地或预发布 URL</x:v>
      </x:c>
      <x:c r="B47" s="17"/>
      <x:c r="C47" s="2"/>
      <x:c r="D47" s="19"/>
      <x:c r="E47" s="19"/>
      <x:c r="F47" s="19"/>
      <x:c r="G47" s="19"/>
      <x:c r="H47" s="19"/>
      <x:c r="I47" s="19"/>
    </x:row>
    <x:row r="48" ht="38" customHeight="1">
      <x:c r="A48" s="2" t="str">
        <x:v>浏览器 / 系统 / 尺寸</x:v>
      </x:c>
      <x:c r="B48" s="17"/>
      <x:c r="C48" s="2"/>
      <x:c r="D48" s="2"/>
      <x:c r="E48" s="2"/>
      <x:c r="F48" s="2"/>
      <x:c r="G48" s="2"/>
      <x:c r="H48" s="2"/>
      <x:c r="I48" s="2"/>
    </x:row>
    <x:row r="49" ht="38" customHeight="1">
      <x:c r="A49" s="2" t="str">
        <x:v>LLM / 模型版本</x:v>
      </x:c>
      <x:c r="B49" s="17"/>
      <x:c r="C49" s="2"/>
      <x:c r="D49" s="9" t="str">
        <x:v>结果表仅汇总记录；不能替代证据复核、真实核心闭环、预发布检查与上线签署。</x:v>
      </x:c>
      <x:c r="E49" s="2"/>
      <x:c r="F49" s="2"/>
      <x:c r="G49" s="2"/>
      <x:c r="H49" s="2"/>
      <x:c r="I49" s="2"/>
    </x:row>
    <x:row r="50" ht="38" customHeight="1">
      <x:c r="A50" s="2" t="str">
        <x:v>Embedding / 维度</x:v>
      </x:c>
      <x:c r="B50" s="17"/>
      <x:c r="C50" s="2"/>
      <x:c r="D50" s="2"/>
      <x:c r="E50" s="2"/>
      <x:c r="F50" s="2"/>
      <x:c r="G50" s="2"/>
      <x:c r="H50" s="2"/>
      <x:c r="I50" s="2"/>
    </x:row>
    <x:row r="51" ht="38" customHeight="1">
      <x:c r="A51" s="2" t="str">
        <x:v>搜索提供商 / 开关</x:v>
      </x:c>
      <x:c r="B51" s="17"/>
      <x:c r="C51" s="2"/>
      <x:c r="D51" s="2"/>
      <x:c r="E51" s="2"/>
      <x:c r="F51" s="2"/>
      <x:c r="G51" s="2"/>
      <x:c r="H51" s="2"/>
      <x:c r="I51" s="2"/>
    </x:row>
    <x:row r="52" ht="38" customHeight="1">
      <x:c r="A52" s="2" t="str">
        <x:v>OCR / Office / 媒体依赖</x:v>
      </x:c>
      <x:c r="B52" s="17"/>
      <x:c r="C52" s="2"/>
      <x:c r="D52" s="2"/>
      <x:c r="E52" s="2"/>
      <x:c r="F52" s="2"/>
      <x:c r="G52" s="2"/>
      <x:c r="H52" s="2"/>
      <x:c r="I52" s="2"/>
    </x:row>
    <x:row r="53" ht="38" customHeight="1">
      <x:c r="A53" s="2" t="str">
        <x:v>部署拓扑 / 资源</x:v>
      </x:c>
      <x:c r="B53" s="17"/>
      <x:c r="C53" s="2"/>
      <x:c r="D53" s="2"/>
      <x:c r="E53" s="2"/>
      <x:c r="F53" s="2"/>
      <x:c r="G53" s="2"/>
      <x:c r="H53" s="2"/>
      <x:c r="I53" s="2"/>
    </x:row>
    <x:row r="54" ht="38" customHeight="1">
      <x:c r="A54" s="2" t="str">
        <x:v>并发 / P95 / 成本阈值</x:v>
      </x:c>
      <x:c r="B54" s="17"/>
      <x:c r="C54" s="2"/>
      <x:c r="D54" s="2"/>
      <x:c r="E54" s="2"/>
      <x:c r="F54" s="2"/>
      <x:c r="G54" s="2"/>
      <x:c r="H54" s="2"/>
      <x:c r="I54" s="2"/>
    </x:row>
    <x:row r="55" ht="38" customHeight="1">
      <x:c r="A55" s="2" t="str">
        <x:v>支持范围 / 不适用审批</x:v>
      </x:c>
      <x:c r="B55" s="17"/>
      <x:c r="C55" s="2"/>
      <x:c r="D55" s="2"/>
      <x:c r="E55" s="2"/>
      <x:c r="F55" s="2"/>
      <x:c r="G55" s="2"/>
      <x:c r="H55" s="2"/>
      <x:c r="I55" s="2"/>
    </x:row>
    <x:row r="56" ht="38" customHeight="1">
      <x:c r="A56" s="2" t="str">
        <x:v>证据目录 / 报告位置</x:v>
      </x:c>
      <x:c r="B56" s="17"/>
      <x:c r="C56" s="2"/>
      <x:c r="D56" s="2"/>
      <x:c r="E56" s="2"/>
      <x:c r="F56" s="2"/>
      <x:c r="G56" s="2"/>
      <x:c r="H56" s="2"/>
      <x:c r="I56" s="2"/>
    </x:row>
    <x:row r="57" ht="38" customHeight="1">
      <x:c r="A57" s="2" t="str">
        <x:v>上线负责人 / 签署位置</x:v>
      </x:c>
      <x:c r="B57" s="17"/>
      <x:c r="C57" s="2"/>
      <x:c r="D57" s="2"/>
      <x:c r="E57" s="2"/>
      <x:c r="F57" s="2"/>
      <x:c r="G57" s="2"/>
      <x:c r="H57" s="2"/>
      <x:c r="I57" s="2"/>
    </x:row>
    <x:row r="58" ht="38" customHeight="1">
      <x:c r="A58" s="2" t="str">
        <x:v>最终复验结论（由证据报告填写）</x:v>
      </x:c>
      <x:c r="B58" s="17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</x:sheetData>
  <x:mergeCells>
    <x:mergeCell ref="D44:I47"/>
    <x:mergeCell ref="D49:I51"/>
  </x:mergeCells>
  <x:conditionalFormatting sqref="B10:B10">
    <x:cfRule type="cellIs" dxfId="8" priority="1" operator="greaterThan">
      <x:formula>0</x:formula>
    </x:cfRule>
  </x:conditionalFormatting>
  <x:conditionalFormatting sqref="B12:B12">
    <x:cfRule type="cellIs" dxfId="9" priority="2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5" hidden="0" customWidth="1"/>
    <x:col min="4" max="4" width="9" hidden="0" customWidth="1"/>
    <x:col min="5" max="5" width="34" hidden="0" customWidth="1"/>
    <x:col min="6" max="6" width="48" hidden="0" customWidth="1"/>
    <x:col min="7" max="7" width="84" hidden="0" customWidth="1"/>
    <x:col min="8" max="8" width="84" hidden="0" customWidth="1"/>
    <x:col min="9" max="9" width="40" hidden="0" customWidth="1"/>
    <x:col min="10" max="10" width="14" hidden="0" customWidth="1"/>
    <x:col min="11" max="11" width="64" hidden="0" customWidth="1"/>
    <x:col min="12" max="12" width="24" hidden="0" customWidth="1"/>
    <x:col min="13" max="13" width="16" hidden="0" customWidth="1"/>
    <x:col min="14" max="14" width="22" hidden="0" customWidth="1"/>
    <x:col min="15" max="15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6" customHeight="1">
      <x:c r="A2" s="3" t="str">
        <x:v>全功能验收记录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黄色列填写结果；每项须有实际结果与证据。状态不适用需在反馈报告中由上线负责人说明范围。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8" t="str">
        <x:v>用例编号</x:v>
      </x:c>
      <x:c r="B5" s="8" t="str">
        <x:v>执行批次</x:v>
      </x:c>
      <x:c r="C5" s="8" t="str">
        <x:v>模块</x:v>
      </x:c>
      <x:c r="D5" s="8" t="str">
        <x:v>优先级</x:v>
      </x:c>
      <x:c r="E5" s="8" t="str">
        <x:v>测试内容</x:v>
      </x:c>
      <x:c r="F5" s="8" t="str">
        <x:v>前置条件</x:v>
      </x:c>
      <x:c r="G5" s="8" t="str">
        <x:v>操作步骤</x:v>
      </x:c>
      <x:c r="H5" s="8" t="str">
        <x:v>预期结果</x:v>
      </x:c>
      <x:c r="I5" s="8" t="str">
        <x:v>证据要求</x:v>
      </x:c>
      <x:c r="J5" s="8" t="str">
        <x:v>结果状态</x:v>
      </x:c>
      <x:c r="K5" s="8" t="str">
        <x:v>实际结果 / 证据位置</x:v>
      </x:c>
      <x:c r="L5" s="8" t="str">
        <x:v>缺陷编号</x:v>
      </x:c>
      <x:c r="M5" s="8" t="str">
        <x:v>测试人</x:v>
      </x:c>
      <x:c r="N5" s="8" t="str">
        <x:v>测试时间</x:v>
      </x:c>
      <x:c r="O5" s="8" t="str">
        <x:v>备注 / 不适用理由</x:v>
      </x:c>
    </x:row>
    <x:row r="6" ht="26.399999618530273" hidden="0" customHeight="1">
      <x:c r="A6" s="10" t="str">
        <x:v>ENV-001</x:v>
      </x:c>
      <x:c r="B6" s="10" t="str">
        <x:v>01 准备</x:v>
      </x:c>
      <x:c r="C6" s="10" t="str">
        <x:v>环境与基线</x:v>
      </x:c>
      <x:c r="D6" s="10" t="str">
        <x:v>P0</x:v>
      </x:c>
      <x:c r="E6" s="10" t="str">
        <x:v>确定验收版本</x:v>
      </x:c>
      <x:c r="F6" s="10" t="str">
        <x:v>隔离验收环境；先记录版本和环境，不使用现有业务数据做破坏测试</x:v>
      </x:c>
      <x:c r="G6" s="10" t="str">
        <x:v>记录 commit、未提交变更摘要、构建时间、依赖版本和配置开关
保存基线清单</x:v>
      </x:c>
      <x:c r="H6" s="10" t="str">
        <x:v>测试报告能够唯一对应到代码与配置
测试中变更版本需重跑受影响用例</x:v>
      </x:c>
      <x:c r="I6" s="10" t="str">
        <x:v>截图或录屏、脱敏请求响应、对象 ID、时间及相关日志</x:v>
      </x:c>
      <x:c r="J6" s="11" t="str">
        <x:v>未执行</x:v>
      </x:c>
      <x:c r="K6" s="11" t="str"/>
      <x:c r="L6" s="11" t="str"/>
      <x:c r="M6" s="11" t="str"/>
      <x:c r="N6" s="12"/>
      <x:c r="O6" s="11" t="str"/>
    </x:row>
    <x:row r="7" ht="39.599998474121094" hidden="0" customHeight="1">
      <x:c r="A7" s="10" t="str">
        <x:v>ENV-002</x:v>
      </x:c>
      <x:c r="B7" s="10" t="str">
        <x:v>01 准备</x:v>
      </x:c>
      <x:c r="C7" s="10" t="str">
        <x:v>环境与基线</x:v>
      </x:c>
      <x:c r="D7" s="10" t="str">
        <x:v>P0</x:v>
      </x:c>
      <x:c r="E7" s="10" t="str">
        <x:v>基础设施启动</x:v>
      </x:c>
      <x:c r="F7" s="10" t="str">
        <x:v>隔离验收环境；先记录版本和环境，不使用现有业务数据做破坏测试</x:v>
      </x:c>
      <x:c r="G7" s="10" t="str">
        <x:v>按 README 启动 PostgreSQL、Redis、Milvus、MinIO
查看 docker compose ps</x:v>
      </x:c>
      <x:c r="H7" s="10" t="str">
        <x:v>必需容器 healthy
初始化桶成功
无持续重启</x:v>
      </x:c>
      <x:c r="I7" s="10" t="str">
        <x:v>截图或录屏、脱敏请求响应、对象 ID、时间及相关日志</x:v>
      </x:c>
      <x:c r="J7" s="11" t="str">
        <x:v>未执行</x:v>
      </x:c>
      <x:c r="K7" s="11" t="str"/>
      <x:c r="L7" s="11" t="str"/>
      <x:c r="M7" s="11" t="str"/>
      <x:c r="N7" s="12"/>
      <x:c r="O7" s="11" t="str"/>
    </x:row>
    <x:row r="8" ht="52.79999923706055" hidden="0" customHeight="1">
      <x:c r="A8" s="10" t="str">
        <x:v>ENV-003</x:v>
      </x:c>
      <x:c r="B8" s="10" t="str">
        <x:v>01 准备</x:v>
      </x:c>
      <x:c r="C8" s="10" t="str">
        <x:v>环境与基线</x:v>
      </x:c>
      <x:c r="D8" s="10" t="str">
        <x:v>P0</x:v>
      </x:c>
      <x:c r="E8" s="10" t="str">
        <x:v>三个应用启动</x:v>
      </x:c>
      <x:c r="F8" s="10" t="str">
        <x:v>隔离验收环境；先记录版本和环境，不使用现有业务数据做破坏测试</x:v>
      </x:c>
      <x:c r="G8" s="10" t="str">
        <x:v>运行 scripts/start-all.ps1 -NoBrowser
访问前端、AI /health
查看 Java 启动日志和认证接口</x:v>
      </x:c>
      <x:c r="H8" s="10" t="str">
        <x:v>前端 HTTP 200
AI status=ok
Java 完成启动并连通数据库
受保护 health 返回 401 不计健康通过</x:v>
      </x:c>
      <x:c r="I8" s="10" t="str">
        <x:v>截图或录屏、脱敏请求响应、对象 ID、时间及相关日志</x:v>
      </x:c>
      <x:c r="J8" s="11" t="str">
        <x:v>未执行</x:v>
      </x:c>
      <x:c r="K8" s="11" t="str"/>
      <x:c r="L8" s="11" t="str"/>
      <x:c r="M8" s="11" t="str"/>
      <x:c r="N8" s="12"/>
      <x:c r="O8" s="11" t="str"/>
    </x:row>
    <x:row r="9" ht="26.399999618530273" hidden="0" customHeight="1">
      <x:c r="A9" s="10" t="str">
        <x:v>ENV-004</x:v>
      </x:c>
      <x:c r="B9" s="10" t="str">
        <x:v>01 准备</x:v>
      </x:c>
      <x:c r="C9" s="10" t="str">
        <x:v>环境与基线</x:v>
      </x:c>
      <x:c r="D9" s="10" t="str">
        <x:v>P0</x:v>
      </x:c>
      <x:c r="E9" s="10" t="str">
        <x:v>前后端代理</x:v>
      </x:c>
      <x:c r="F9" s="10" t="str">
        <x:v>隔离验收环境；先记录版本和环境，不使用现有业务数据做破坏测试</x:v>
      </x:c>
      <x:c r="G9" s="10" t="str">
        <x:v>通过前端访问 /api/auth/captcha
对照后端 /auth/captcha</x:v>
      </x:c>
      <x:c r="H9" s="10" t="str">
        <x:v>真实验证码接口成功
无 CORS 错误、代理 502 或路径重复 /api</x:v>
      </x:c>
      <x:c r="I9" s="10" t="str">
        <x:v>截图或录屏、脱敏请求响应、对象 ID、时间及相关日志</x:v>
      </x:c>
      <x:c r="J9" s="11" t="str">
        <x:v>未执行</x:v>
      </x:c>
      <x:c r="K9" s="11" t="str"/>
      <x:c r="L9" s="11" t="str"/>
      <x:c r="M9" s="11" t="str"/>
      <x:c r="N9" s="12"/>
      <x:c r="O9" s="11" t="str"/>
    </x:row>
    <x:row r="10" ht="26.399999618530273" hidden="0" customHeight="1">
      <x:c r="A10" s="10" t="str">
        <x:v>ENV-005</x:v>
      </x:c>
      <x:c r="B10" s="10" t="str">
        <x:v>01 准备</x:v>
      </x:c>
      <x:c r="C10" s="10" t="str">
        <x:v>环境与基线</x:v>
      </x:c>
      <x:c r="D10" s="10" t="str">
        <x:v>P0</x:v>
      </x:c>
      <x:c r="E10" s="10" t="str">
        <x:v>持久化重启</x:v>
      </x:c>
      <x:c r="F10" s="10" t="str">
        <x:v>隔离验收环境；先记录版本和环境，不使用现有业务数据做破坏测试</x:v>
      </x:c>
      <x:c r="G10" s="10" t="str">
        <x:v>记录项目、资料、运行、报告 ID
正常重启应用后重新登录查询</x:v>
      </x:c>
      <x:c r="H10" s="10" t="str">
        <x:v>数据库记录、文件与已完成结果保留
会话按既定策略恢复</x:v>
      </x:c>
      <x:c r="I10" s="10" t="str">
        <x:v>截图或录屏、脱敏请求响应、对象 ID、时间及相关日志</x:v>
      </x:c>
      <x:c r="J10" s="11" t="str">
        <x:v>未执行</x:v>
      </x:c>
      <x:c r="K10" s="11" t="str"/>
      <x:c r="L10" s="11" t="str"/>
      <x:c r="M10" s="11" t="str"/>
      <x:c r="N10" s="12"/>
      <x:c r="O10" s="11" t="str"/>
    </x:row>
    <x:row r="11" ht="26.399999618530273" hidden="0" customHeight="1">
      <x:c r="A11" s="10" t="str">
        <x:v>ENV-006</x:v>
      </x:c>
      <x:c r="B11" s="10" t="str">
        <x:v>01 准备</x:v>
      </x:c>
      <x:c r="C11" s="10" t="str">
        <x:v>环境与基线</x:v>
      </x:c>
      <x:c r="D11" s="10" t="str">
        <x:v>P1</x:v>
      </x:c>
      <x:c r="E11" s="10" t="str">
        <x:v>运行依赖可用</x:v>
      </x:c>
      <x:c r="F11" s="10" t="str">
        <x:v>隔离验收环境；先记录版本和环境，不使用现有业务数据做破坏测试</x:v>
      </x:c>
      <x:c r="G11" s="10" t="str">
        <x:v>在工具设置或内部 files/tools 查询 OCR、PDF、Office、音视频能力</x:v>
      </x:c>
      <x:c r="H11" s="10" t="str">
        <x:v>状态反映真实工具
缺失依赖列为阻塞或明确不支持，不能显示已就绪</x:v>
      </x:c>
      <x:c r="I11" s="10" t="str">
        <x:v>截图或录屏、脱敏请求响应、对象 ID、时间及相关日志</x:v>
      </x:c>
      <x:c r="J11" s="11" t="str">
        <x:v>未执行</x:v>
      </x:c>
      <x:c r="K11" s="11" t="str"/>
      <x:c r="L11" s="11" t="str"/>
      <x:c r="M11" s="11" t="str"/>
      <x:c r="N11" s="12"/>
      <x:c r="O11" s="11" t="str"/>
    </x:row>
    <x:row r="12" ht="39.599998474121094" hidden="0" customHeight="1">
      <x:c r="A12" s="10" t="str">
        <x:v>ENV-007</x:v>
      </x:c>
      <x:c r="B12" s="10" t="str">
        <x:v>01 准备</x:v>
      </x:c>
      <x:c r="C12" s="10" t="str">
        <x:v>环境与基线</x:v>
      </x:c>
      <x:c r="D12" s="10" t="str">
        <x:v>P0</x:v>
      </x:c>
      <x:c r="E12" s="10" t="str">
        <x:v>真实模型配置</x:v>
      </x:c>
      <x:c r="F12" s="10" t="str">
        <x:v>隔离验收环境；先记录版本和环境，不使用现有业务数据做破坏测试</x:v>
      </x:c>
      <x:c r="G12" s="10" t="str">
        <x:v>记录本轮 LLM、Embedding、端点、模型版本
执行连接测试与一次真实请求</x:v>
      </x:c>
      <x:c r="H12" s="10" t="str">
        <x:v>不是 mock 模型
真实模型可调用
hash 仅能证明流程，不代表真实语义检索质量</x:v>
      </x:c>
      <x:c r="I12" s="10" t="str">
        <x:v>截图或录屏、脱敏请求响应、对象 ID、时间及相关日志</x:v>
      </x:c>
      <x:c r="J12" s="11" t="str">
        <x:v>未执行</x:v>
      </x:c>
      <x:c r="K12" s="11" t="str"/>
      <x:c r="L12" s="11" t="str"/>
      <x:c r="M12" s="11" t="str"/>
      <x:c r="N12" s="12"/>
      <x:c r="O12" s="11" t="str"/>
    </x:row>
    <x:row r="13" ht="26.399999618530273" hidden="0" customHeight="1">
      <x:c r="A13" s="10" t="str">
        <x:v>ENV-008</x:v>
      </x:c>
      <x:c r="B13" s="10" t="str">
        <x:v>01 准备</x:v>
      </x:c>
      <x:c r="C13" s="10" t="str">
        <x:v>环境与基线</x:v>
      </x:c>
      <x:c r="D13" s="10" t="str">
        <x:v>P0</x:v>
      </x:c>
      <x:c r="E13" s="10" t="str">
        <x:v>测试环境隔离</x:v>
      </x:c>
      <x:c r="F13" s="10" t="str">
        <x:v>隔离验收环境；先记录版本和环境，不使用现有业务数据做破坏测试</x:v>
      </x:c>
      <x:c r="G13" s="10" t="str">
        <x:v>建立独立 QA 工作区和可销毁数据库/存储
核对压测和故障注入目标</x:v>
      </x:c>
      <x:c r="H13" s="10" t="str">
        <x:v>删除、配额、服务中断仅影响 QA
有恢复步骤与备份</x:v>
      </x:c>
      <x:c r="I13" s="10" t="str">
        <x:v>截图或录屏、脱敏请求响应、对象 ID、时间及相关日志</x:v>
      </x:c>
      <x:c r="J13" s="11" t="str">
        <x:v>未执行</x:v>
      </x:c>
      <x:c r="K13" s="11" t="str"/>
      <x:c r="L13" s="11" t="str"/>
      <x:c r="M13" s="11" t="str"/>
      <x:c r="N13" s="12"/>
      <x:c r="O13" s="11" t="str"/>
    </x:row>
    <x:row r="14" ht="39.599998474121094" hidden="0" customHeight="1">
      <x:c r="A14" s="10" t="str">
        <x:v>ENV-009</x:v>
      </x:c>
      <x:c r="B14" s="10" t="str">
        <x:v>01 准备</x:v>
      </x:c>
      <x:c r="C14" s="10" t="str">
        <x:v>环境与基线</x:v>
      </x:c>
      <x:c r="D14" s="10" t="str">
        <x:v>P1</x:v>
      </x:c>
      <x:c r="E14" s="10" t="str">
        <x:v>日志时间一致</x:v>
      </x:c>
      <x:c r="F14" s="10" t="str">
        <x:v>隔离验收环境；先记录版本和环境，不使用现有业务数据做破坏测试</x:v>
      </x:c>
      <x:c r="G14" s="10" t="str">
        <x:v>对比浏览器、Java、Python、数据库事件时间
记录 Asia/Shanghai 与 UTC 转换</x:v>
      </x:c>
      <x:c r="H14" s="10" t="str">
        <x:v>事件顺序正确
用户时间为 Asia/Shanghai
相对日期不错年错日</x:v>
      </x:c>
      <x:c r="I14" s="10" t="str">
        <x:v>截图或录屏、脱敏请求响应、对象 ID、时间及相关日志</x:v>
      </x:c>
      <x:c r="J14" s="11" t="str">
        <x:v>未执行</x:v>
      </x:c>
      <x:c r="K14" s="11" t="str"/>
      <x:c r="L14" s="11" t="str"/>
      <x:c r="M14" s="11" t="str"/>
      <x:c r="N14" s="12"/>
      <x:c r="O14" s="11" t="str"/>
    </x:row>
    <x:row r="15" ht="39.599998474121094" hidden="0" customHeight="1">
      <x:c r="A15" s="10" t="str">
        <x:v>ENV-010</x:v>
      </x:c>
      <x:c r="B15" s="10" t="str">
        <x:v>01 准备</x:v>
      </x:c>
      <x:c r="C15" s="10" t="str">
        <x:v>环境与基线</x:v>
      </x:c>
      <x:c r="D15" s="10" t="str">
        <x:v>P1</x:v>
      </x:c>
      <x:c r="E15" s="10" t="str">
        <x:v>环境失败可解释</x:v>
      </x:c>
      <x:c r="F15" s="10" t="str">
        <x:v>隔离验收环境；先记录版本和环境，不使用现有业务数据做破坏测试</x:v>
      </x:c>
      <x:c r="G15" s="10" t="str">
        <x:v>故意缺少一项必需配置在独立实例启动
随后恢复</x:v>
      </x:c>
      <x:c r="H15" s="10" t="str">
        <x:v>清楚指出配置或依赖失败
不进入伪成功页面
恢复后正常启动</x:v>
      </x:c>
      <x:c r="I15" s="10" t="str">
        <x:v>截图或录屏、脱敏请求响应、对象 ID、时间及相关日志</x:v>
      </x:c>
      <x:c r="J15" s="11" t="str">
        <x:v>未执行</x:v>
      </x:c>
      <x:c r="K15" s="11" t="str"/>
      <x:c r="L15" s="11" t="str"/>
      <x:c r="M15" s="11" t="str"/>
      <x:c r="N15" s="12"/>
      <x:c r="O15" s="11" t="str"/>
    </x:row>
    <x:row r="16" ht="26.399999618530273" hidden="0" customHeight="1">
      <x:c r="A16" s="10" t="str">
        <x:v>ENV-011</x:v>
      </x:c>
      <x:c r="B16" s="10" t="str">
        <x:v>01 准备</x:v>
      </x:c>
      <x:c r="C16" s="10" t="str">
        <x:v>环境与基线</x:v>
      </x:c>
      <x:c r="D16" s="10" t="str">
        <x:v>P0</x:v>
      </x:c>
      <x:c r="E16" s="10" t="str">
        <x:v>上线范围登记</x:v>
      </x:c>
      <x:c r="F16" s="10" t="str">
        <x:v>隔离验收环境；先记录版本和环境，不使用现有业务数据做破坏测试</x:v>
      </x:c>
      <x:c r="G16" s="10" t="str">
        <x:v>逐项登记网页搜索、图谱、MCP、HTTP Worker、各文件格式及文档导出的上线支持范围</x:v>
      </x:c>
      <x:c r="H16" s="10" t="str">
        <x:v>所有能力都有启用、禁用或未交付结论
未交付功能不能对外宣称支持</x:v>
      </x:c>
      <x:c r="I16" s="10" t="str">
        <x:v>截图或录屏、脱敏请求响应、对象 ID、时间及相关日志</x:v>
      </x:c>
      <x:c r="J16" s="11" t="str">
        <x:v>未执行</x:v>
      </x:c>
      <x:c r="K16" s="11" t="str"/>
      <x:c r="L16" s="11" t="str"/>
      <x:c r="M16" s="11" t="str"/>
      <x:c r="N16" s="12"/>
      <x:c r="O16" s="11" t="str"/>
    </x:row>
    <x:row r="17" ht="26.399999618530273" hidden="0" customHeight="1">
      <x:c r="A17" s="10" t="str">
        <x:v>ENV-012</x:v>
      </x:c>
      <x:c r="B17" s="10" t="str">
        <x:v>01 准备</x:v>
      </x:c>
      <x:c r="C17" s="10" t="str">
        <x:v>环境与基线</x:v>
      </x:c>
      <x:c r="D17" s="10" t="str">
        <x:v>P0</x:v>
      </x:c>
      <x:c r="E17" s="10" t="str">
        <x:v>真实短信准备</x:v>
      </x:c>
      <x:c r="F17" s="10" t="str">
        <x:v>隔离验收环境；先记录版本和环境，不使用现有业务数据做破坏测试</x:v>
      </x:c>
      <x:c r="G17" s="10" t="str">
        <x:v>使用测试手机号请求注册短信
检查供应商发送与收件记录</x:v>
      </x:c>
      <x:c r="H17" s="10" t="str">
        <x:v>手机真实收到验证码
当前源码只写 Redis，此项需接入发送服务后复验</x:v>
      </x:c>
      <x:c r="I17" s="10" t="str">
        <x:v>截图或录屏、脱敏请求响应、对象 ID、时间及相关日志</x:v>
      </x:c>
      <x:c r="J17" s="11" t="str">
        <x:v>未执行</x:v>
      </x:c>
      <x:c r="K17" s="11" t="str"/>
      <x:c r="L17" s="11" t="str"/>
      <x:c r="M17" s="11" t="str"/>
      <x:c r="N17" s="12"/>
      <x:c r="O17" s="11" t="str"/>
    </x:row>
    <x:row r="18" ht="39.599998474121094" hidden="0" customHeight="1">
      <x:c r="A18" s="10" t="str">
        <x:v>AUTH-001</x:v>
      </x:c>
      <x:c r="B18" s="10" t="str">
        <x:v>02 账号</x:v>
      </x:c>
      <x:c r="C18" s="10" t="str">
        <x:v>注册、登录与会话</x:v>
      </x:c>
      <x:c r="D18" s="10" t="str">
        <x:v>P1</x:v>
      </x:c>
      <x:c r="E18" s="10" t="str">
        <x:v>图片验证码加载与刷新</x:v>
      </x:c>
      <x:c r="F18" s="10" t="str">
        <x:v>测试账号 A/B/C/D；独立浏览器配置；真实短信链路未接入时相关用例记阻塞</x:v>
      </x:c>
      <x:c r="G18" s="10" t="str">
        <x:v>打开登录/注册
刷新验证码
提交旧验证码</x:v>
      </x:c>
      <x:c r="H18" s="10" t="str">
        <x:v>图片可见且新 ID 生效
旧码拒绝
失败有明确提示</x:v>
      </x:c>
      <x:c r="I18" s="10" t="str">
        <x:v>截图或录屏、脱敏请求响应、对象 ID、时间及相关日志</x:v>
      </x:c>
      <x:c r="J18" s="11" t="str">
        <x:v>未执行</x:v>
      </x:c>
      <x:c r="K18" s="11" t="str"/>
      <x:c r="L18" s="11" t="str"/>
      <x:c r="M18" s="11" t="str"/>
      <x:c r="N18" s="12"/>
      <x:c r="O18" s="11" t="str"/>
    </x:row>
    <x:row r="19" ht="39.599998474121094" hidden="0" customHeight="1">
      <x:c r="A19" s="10" t="str">
        <x:v>AUTH-002</x:v>
      </x:c>
      <x:c r="B19" s="10" t="str">
        <x:v>02 账号</x:v>
      </x:c>
      <x:c r="C19" s="10" t="str">
        <x:v>注册、登录与会话</x:v>
      </x:c>
      <x:c r="D19" s="10" t="str">
        <x:v>P0</x:v>
      </x:c>
      <x:c r="E19" s="10" t="str">
        <x:v>合法注册</x:v>
      </x:c>
      <x:c r="F19" s="10" t="str">
        <x:v>测试账号 A/B/C/D；独立浏览器配置；真实短信链路未接入时相关用例记阻塞</x:v>
      </x:c>
      <x:c r="G19" s="10" t="str">
        <x:v>填写新手机号、用户名、强密码、图形验证码、注册短信并同意协议
注册后登录</x:v>
      </x:c>
      <x:c r="H19" s="10" t="str">
        <x:v>账号创建一次
成功提示
可进入真实工作区</x:v>
      </x:c>
      <x:c r="I19" s="10" t="str">
        <x:v>截图或录屏、脱敏请求响应、对象 ID、时间及相关日志</x:v>
      </x:c>
      <x:c r="J19" s="11" t="str">
        <x:v>未执行</x:v>
      </x:c>
      <x:c r="K19" s="11" t="str"/>
      <x:c r="L19" s="11" t="str"/>
      <x:c r="M19" s="11" t="str"/>
      <x:c r="N19" s="12"/>
      <x:c r="O19" s="11" t="str"/>
    </x:row>
    <x:row r="20" ht="39.599998474121094" hidden="0" customHeight="1">
      <x:c r="A20" s="10" t="str">
        <x:v>AUTH-003</x:v>
      </x:c>
      <x:c r="B20" s="10" t="str">
        <x:v>02 账号</x:v>
      </x:c>
      <x:c r="C20" s="10" t="str">
        <x:v>注册、登录与会话</x:v>
      </x:c>
      <x:c r="D20" s="10" t="str">
        <x:v>P1</x:v>
      </x:c>
      <x:c r="E20" s="10" t="str">
        <x:v>注册字段校验</x:v>
      </x:c>
      <x:c r="F20" s="10" t="str">
        <x:v>测试账号 A/B/C/D；独立浏览器配置；真实短信链路未接入时相关用例记阻塞</x:v>
      </x:c>
      <x:c r="G20" s="10" t="str">
        <x:v>分别提交空值、非法手机号、1 字用户名、短密码、两次密码不一致</x:v>
      </x:c>
      <x:c r="H20" s="10" t="str">
        <x:v>逐字段提示
绕过前端后后端仍拒绝
无脏账号</x:v>
      </x:c>
      <x:c r="I20" s="10" t="str">
        <x:v>截图或录屏、脱敏请求响应、对象 ID、时间及相关日志</x:v>
      </x:c>
      <x:c r="J20" s="11" t="str">
        <x:v>未执行</x:v>
      </x:c>
      <x:c r="K20" s="11" t="str"/>
      <x:c r="L20" s="11" t="str"/>
      <x:c r="M20" s="11" t="str"/>
      <x:c r="N20" s="12"/>
      <x:c r="O20" s="11" t="str"/>
    </x:row>
    <x:row r="21" ht="39.599998474121094" hidden="0" customHeight="1">
      <x:c r="A21" s="10" t="str">
        <x:v>AUTH-004</x:v>
      </x:c>
      <x:c r="B21" s="10" t="str">
        <x:v>02 账号</x:v>
      </x:c>
      <x:c r="C21" s="10" t="str">
        <x:v>注册、登录与会话</x:v>
      </x:c>
      <x:c r="D21" s="10" t="str">
        <x:v>P1</x:v>
      </x:c>
      <x:c r="E21" s="10" t="str">
        <x:v>协议与隐私入口</x:v>
      </x:c>
      <x:c r="F21" s="10" t="str">
        <x:v>测试账号 A/B/C/D；独立浏览器配置；真实短信链路未接入时相关用例记阻塞</x:v>
      </x:c>
      <x:c r="G21" s="10" t="str">
        <x:v>打开用户协议和隐私政策
关闭
未勾选协议提交</x:v>
      </x:c>
      <x:c r="H21" s="10" t="str">
        <x:v>弹窗可读可关闭
必需同意项生效
公开内容完整可用</x:v>
      </x:c>
      <x:c r="I21" s="10" t="str">
        <x:v>截图或录屏、脱敏请求响应、对象 ID、时间及相关日志</x:v>
      </x:c>
      <x:c r="J21" s="11" t="str">
        <x:v>未执行</x:v>
      </x:c>
      <x:c r="K21" s="11" t="str"/>
      <x:c r="L21" s="11" t="str"/>
      <x:c r="M21" s="11" t="str"/>
      <x:c r="N21" s="12"/>
      <x:c r="O21" s="11" t="str"/>
    </x:row>
    <x:row r="22" ht="39.599998474121094" hidden="0" customHeight="1">
      <x:c r="A22" s="10" t="str">
        <x:v>AUTH-005</x:v>
      </x:c>
      <x:c r="B22" s="10" t="str">
        <x:v>02 账号</x:v>
      </x:c>
      <x:c r="C22" s="10" t="str">
        <x:v>注册、登录与会话</x:v>
      </x:c>
      <x:c r="D22" s="10" t="str">
        <x:v>P1</x:v>
      </x:c>
      <x:c r="E22" s="10" t="str">
        <x:v>重复手机号</x:v>
      </x:c>
      <x:c r="F22" s="10" t="str">
        <x:v>测试账号 A/B/C/D；独立浏览器配置；真实短信链路未接入时相关用例记阻塞</x:v>
      </x:c>
      <x:c r="G22" s="10" t="str">
        <x:v>使用已注册手机号再次获取注册码并注册</x:v>
      </x:c>
      <x:c r="H22" s="10" t="str">
        <x:v>合理冲突错误
原账号不被覆盖</x:v>
      </x:c>
      <x:c r="I22" s="10" t="str">
        <x:v>截图或录屏、脱敏请求响应、对象 ID、时间及相关日志</x:v>
      </x:c>
      <x:c r="J22" s="11" t="str">
        <x:v>未执行</x:v>
      </x:c>
      <x:c r="K22" s="11" t="str"/>
      <x:c r="L22" s="11" t="str"/>
      <x:c r="M22" s="11" t="str"/>
      <x:c r="N22" s="12"/>
      <x:c r="O22" s="11" t="str"/>
    </x:row>
    <x:row r="23" ht="39.599998474121094" hidden="0" customHeight="1">
      <x:c r="A23" s="10" t="str">
        <x:v>AUTH-006</x:v>
      </x:c>
      <x:c r="B23" s="10" t="str">
        <x:v>02 账号</x:v>
      </x:c>
      <x:c r="C23" s="10" t="str">
        <x:v>注册、登录与会话</x:v>
      </x:c>
      <x:c r="D23" s="10" t="str">
        <x:v>P1</x:v>
      </x:c>
      <x:c r="E23" s="10" t="str">
        <x:v>密码强度与边界</x:v>
      </x:c>
      <x:c r="F23" s="10" t="str">
        <x:v>测试账号 A/B/C/D；独立浏览器配置；真实短信链路未接入时相关用例记阻塞</x:v>
      </x:c>
      <x:c r="G23" s="10" t="str">
        <x:v>测试 11/12 字符、弱密码、包含手机号、长密码及有效强密码</x:v>
      </x:c>
      <x:c r="H23" s="10" t="str">
        <x:v>按后端 PasswordPolicy 的实际规则接受或拒绝
前后端文案一致</x:v>
      </x:c>
      <x:c r="I23" s="10" t="str">
        <x:v>截图或录屏、脱敏请求响应、对象 ID、时间及相关日志</x:v>
      </x:c>
      <x:c r="J23" s="11" t="str">
        <x:v>未执行</x:v>
      </x:c>
      <x:c r="K23" s="11" t="str"/>
      <x:c r="L23" s="11" t="str"/>
      <x:c r="M23" s="11" t="str"/>
      <x:c r="N23" s="12"/>
      <x:c r="O23" s="11" t="str"/>
    </x:row>
    <x:row r="24" ht="39.599998474121094" hidden="0" customHeight="1">
      <x:c r="A24" s="10" t="str">
        <x:v>AUTH-007</x:v>
      </x:c>
      <x:c r="B24" s="10" t="str">
        <x:v>02 账号</x:v>
      </x:c>
      <x:c r="C24" s="10" t="str">
        <x:v>注册、登录与会话</x:v>
      </x:c>
      <x:c r="D24" s="10" t="str">
        <x:v>P0</x:v>
      </x:c>
      <x:c r="E24" s="10" t="str">
        <x:v>密码登录成功</x:v>
      </x:c>
      <x:c r="F24" s="10" t="str">
        <x:v>测试账号 A/B/C/D；独立浏览器配置；真实短信链路未接入时相关用例记阻塞</x:v>
      </x:c>
      <x:c r="G24" s="10" t="str">
        <x:v>输入正确手机号、密码与新图形验证码登录</x:v>
      </x:c>
      <x:c r="H24" s="10" t="str">
        <x:v>登录成功
进入当前用户可访问的工作区或上次项目
Cookie 会话生效</x:v>
      </x:c>
      <x:c r="I24" s="10" t="str">
        <x:v>截图或录屏、脱敏请求响应、对象 ID、时间及相关日志</x:v>
      </x:c>
      <x:c r="J24" s="11" t="str">
        <x:v>未执行</x:v>
      </x:c>
      <x:c r="K24" s="11" t="str"/>
      <x:c r="L24" s="11" t="str"/>
      <x:c r="M24" s="11" t="str"/>
      <x:c r="N24" s="12"/>
      <x:c r="O24" s="11" t="str"/>
    </x:row>
    <x:row r="25" ht="39.599998474121094" hidden="0" customHeight="1">
      <x:c r="A25" s="10" t="str">
        <x:v>AUTH-008</x:v>
      </x:c>
      <x:c r="B25" s="10" t="str">
        <x:v>02 账号</x:v>
      </x:c>
      <x:c r="C25" s="10" t="str">
        <x:v>注册、登录与会话</x:v>
      </x:c>
      <x:c r="D25" s="10" t="str">
        <x:v>P1</x:v>
      </x:c>
      <x:c r="E25" s="10" t="str">
        <x:v>密码登录失败</x:v>
      </x:c>
      <x:c r="F25" s="10" t="str">
        <x:v>测试账号 A/B/C/D；独立浏览器配置；真实短信链路未接入时相关用例记阻塞</x:v>
      </x:c>
      <x:c r="G25" s="10" t="str">
        <x:v>分别使用错误密码、不存在账号、禁用账号及错误验证码</x:v>
      </x:c>
      <x:c r="H25" s="10" t="str">
        <x:v>不登录
错误不泄露账号状态或密码
无成功会话</x:v>
      </x:c>
      <x:c r="I25" s="10" t="str">
        <x:v>截图或录屏、脱敏请求响应、对象 ID、时间及相关日志</x:v>
      </x:c>
      <x:c r="J25" s="11" t="str">
        <x:v>未执行</x:v>
      </x:c>
      <x:c r="K25" s="11" t="str"/>
      <x:c r="L25" s="11" t="str"/>
      <x:c r="M25" s="11" t="str"/>
      <x:c r="N25" s="12"/>
      <x:c r="O25" s="11" t="str"/>
    </x:row>
    <x:row r="26" ht="52.79999923706055" hidden="0" customHeight="1">
      <x:c r="A26" s="10" t="str">
        <x:v>AUTH-009</x:v>
      </x:c>
      <x:c r="B26" s="10" t="str">
        <x:v>02 账号</x:v>
      </x:c>
      <x:c r="C26" s="10" t="str">
        <x:v>注册、登录与会话</x:v>
      </x:c>
      <x:c r="D26" s="10" t="str">
        <x:v>P1</x:v>
      </x:c>
      <x:c r="E26" s="10" t="str">
        <x:v>登录表单交互</x:v>
      </x:c>
      <x:c r="F26" s="10" t="str">
        <x:v>测试账号 A/B/C/D；独立浏览器配置；真实短信链路未接入时相关用例记阻塞</x:v>
      </x:c>
      <x:c r="G26" s="10" t="str">
        <x:v>显示/隐藏密码
回车提交
快速双击
切换短信/密码标签</x:v>
      </x:c>
      <x:c r="H26" s="10" t="str">
        <x:v>切换正常
提交期间禁重复
没有重复跳转和旧错误残留</x:v>
      </x:c>
      <x:c r="I26" s="10" t="str">
        <x:v>截图或录屏、脱敏请求响应、对象 ID、时间及相关日志</x:v>
      </x:c>
      <x:c r="J26" s="11" t="str">
        <x:v>未执行</x:v>
      </x:c>
      <x:c r="K26" s="11" t="str"/>
      <x:c r="L26" s="11" t="str"/>
      <x:c r="M26" s="11" t="str"/>
      <x:c r="N26" s="12"/>
      <x:c r="O26" s="11" t="str"/>
    </x:row>
    <x:row r="27" ht="39.599998474121094" hidden="0" customHeight="1">
      <x:c r="A27" s="10" t="str">
        <x:v>AUTH-010</x:v>
      </x:c>
      <x:c r="B27" s="10" t="str">
        <x:v>02 账号</x:v>
      </x:c>
      <x:c r="C27" s="10" t="str">
        <x:v>注册、登录与会话</x:v>
      </x:c>
      <x:c r="D27" s="10" t="str">
        <x:v>P1</x:v>
      </x:c>
      <x:c r="E27" s="10" t="str">
        <x:v>记住手机号</x:v>
      </x:c>
      <x:c r="F27" s="10" t="str">
        <x:v>测试账号 A/B/C/D；独立浏览器配置；真实短信链路未接入时相关用例记阻塞</x:v>
      </x:c>
      <x:c r="G27" s="10" t="str">
        <x:v>勾选记住手机号登录
退出重开
再取消并登录</x:v>
      </x:c>
      <x:c r="H27" s="10" t="str">
        <x:v>仅记住手机号
不保存密码
取消后清除已记住手机号</x:v>
      </x:c>
      <x:c r="I27" s="10" t="str">
        <x:v>截图或录屏、脱敏请求响应、对象 ID、时间及相关日志</x:v>
      </x:c>
      <x:c r="J27" s="11" t="str">
        <x:v>未执行</x:v>
      </x:c>
      <x:c r="K27" s="11" t="str"/>
      <x:c r="L27" s="11" t="str"/>
      <x:c r="M27" s="11" t="str"/>
      <x:c r="N27" s="12"/>
      <x:c r="O27" s="11" t="str"/>
    </x:row>
    <x:row r="28" ht="39.599998474121094" hidden="0" customHeight="1">
      <x:c r="A28" s="10" t="str">
        <x:v>AUTH-011</x:v>
      </x:c>
      <x:c r="B28" s="10" t="str">
        <x:v>02 账号</x:v>
      </x:c>
      <x:c r="C28" s="10" t="str">
        <x:v>注册、登录与会话</x:v>
      </x:c>
      <x:c r="D28" s="10" t="str">
        <x:v>P0</x:v>
      </x:c>
      <x:c r="E28" s="10" t="str">
        <x:v>短信登录</x:v>
      </x:c>
      <x:c r="F28" s="10" t="str">
        <x:v>测试账号 A/B/C/D；独立浏览器配置；真实短信链路未接入时相关用例记阻塞</x:v>
      </x:c>
      <x:c r="G28" s="10" t="str">
        <x:v>获取 LOGIN 验证码
正确输入
登录后刷新</x:v>
      </x:c>
      <x:c r="H28" s="10" t="str">
        <x:v>真实发送并正确登录
Cookie 有效</x:v>
      </x:c>
      <x:c r="I28" s="10" t="str">
        <x:v>截图或录屏、脱敏请求响应、对象 ID、时间及相关日志</x:v>
      </x:c>
      <x:c r="J28" s="11" t="str">
        <x:v>未执行</x:v>
      </x:c>
      <x:c r="K28" s="11" t="str"/>
      <x:c r="L28" s="11" t="str"/>
      <x:c r="M28" s="11" t="str"/>
      <x:c r="N28" s="12"/>
      <x:c r="O28" s="11" t="str"/>
    </x:row>
    <x:row r="29" ht="39.599998474121094" hidden="0" customHeight="1">
      <x:c r="A29" s="10" t="str">
        <x:v>AUTH-012</x:v>
      </x:c>
      <x:c r="B29" s="10" t="str">
        <x:v>02 账号</x:v>
      </x:c>
      <x:c r="C29" s="10" t="str">
        <x:v>注册、登录与会话</x:v>
      </x:c>
      <x:c r="D29" s="10" t="str">
        <x:v>P1</x:v>
      </x:c>
      <x:c r="E29" s="10" t="str">
        <x:v>短信失效与重用</x:v>
      </x:c>
      <x:c r="F29" s="10" t="str">
        <x:v>测试账号 A/B/C/D；独立浏览器配置；真实短信链路未接入时相关用例记阻塞</x:v>
      </x:c>
      <x:c r="G29" s="10" t="str">
        <x:v>使用错误码、过期码、已使用码
切换手机号后用旧码</x:v>
      </x:c>
      <x:c r="H29" s="10" t="str">
        <x:v>全部拒绝
验证码一次性且绑定手机号</x:v>
      </x:c>
      <x:c r="I29" s="10" t="str">
        <x:v>截图或录屏、脱敏请求响应、对象 ID、时间及相关日志</x:v>
      </x:c>
      <x:c r="J29" s="11" t="str">
        <x:v>未执行</x:v>
      </x:c>
      <x:c r="K29" s="11" t="str"/>
      <x:c r="L29" s="11" t="str"/>
      <x:c r="M29" s="11" t="str"/>
      <x:c r="N29" s="12"/>
      <x:c r="O29" s="11" t="str"/>
    </x:row>
    <x:row r="30" ht="39.599998474121094" hidden="0" customHeight="1">
      <x:c r="A30" s="10" t="str">
        <x:v>AUTH-013</x:v>
      </x:c>
      <x:c r="B30" s="10" t="str">
        <x:v>02 账号</x:v>
      </x:c>
      <x:c r="C30" s="10" t="str">
        <x:v>注册、登录与会话</x:v>
      </x:c>
      <x:c r="D30" s="10" t="str">
        <x:v>P0</x:v>
      </x:c>
      <x:c r="E30" s="10" t="str">
        <x:v>短信用途隔离</x:v>
      </x:c>
      <x:c r="F30" s="10" t="str">
        <x:v>测试账号 A/B/C/D；独立浏览器配置；真实短信链路未接入时相关用例记阻塞</x:v>
      </x:c>
      <x:c r="G30" s="10" t="str">
        <x:v>把 REGISTER 验证码用于 LOGIN/重置密码/改手机号</x:v>
      </x:c>
      <x:c r="H30" s="10" t="str">
        <x:v>不同用途不能混用</x:v>
      </x:c>
      <x:c r="I30" s="10" t="str">
        <x:v>截图或录屏、脱敏请求响应、对象 ID、时间及相关日志</x:v>
      </x:c>
      <x:c r="J30" s="11" t="str">
        <x:v>未执行</x:v>
      </x:c>
      <x:c r="K30" s="11" t="str"/>
      <x:c r="L30" s="11" t="str"/>
      <x:c r="M30" s="11" t="str"/>
      <x:c r="N30" s="12"/>
      <x:c r="O30" s="11" t="str"/>
    </x:row>
    <x:row r="31" ht="39.599998474121094" hidden="0" customHeight="1">
      <x:c r="A31" s="10" t="str">
        <x:v>AUTH-014</x:v>
      </x:c>
      <x:c r="B31" s="10" t="str">
        <x:v>02 账号</x:v>
      </x:c>
      <x:c r="C31" s="10" t="str">
        <x:v>注册、登录与会话</x:v>
      </x:c>
      <x:c r="D31" s="10" t="str">
        <x:v>P1</x:v>
      </x:c>
      <x:c r="E31" s="10" t="str">
        <x:v>短信倒计时与限流</x:v>
      </x:c>
      <x:c r="F31" s="10" t="str">
        <x:v>测试账号 A/B/C/D；独立浏览器配置；真实短信链路未接入时相关用例记阻塞</x:v>
      </x:c>
      <x:c r="G31" s="10" t="str">
        <x:v>重复点击发送
60 秒内重发
超过手机号/IP 配置限额</x:v>
      </x:c>
      <x:c r="H31" s="10" t="str">
        <x:v>UI 倒计时有效
后端独立限流
到期后可恢复</x:v>
      </x:c>
      <x:c r="I31" s="10" t="str">
        <x:v>截图或录屏、脱敏请求响应、对象 ID、时间及相关日志</x:v>
      </x:c>
      <x:c r="J31" s="11" t="str">
        <x:v>未执行</x:v>
      </x:c>
      <x:c r="K31" s="11" t="str"/>
      <x:c r="L31" s="11" t="str"/>
      <x:c r="M31" s="11" t="str"/>
      <x:c r="N31" s="12"/>
      <x:c r="O31" s="11" t="str"/>
    </x:row>
    <x:row r="32" ht="39.599998474121094" hidden="0" customHeight="1">
      <x:c r="A32" s="10" t="str">
        <x:v>AUTH-015</x:v>
      </x:c>
      <x:c r="B32" s="10" t="str">
        <x:v>02 账号</x:v>
      </x:c>
      <x:c r="C32" s="10" t="str">
        <x:v>注册、登录与会话</x:v>
      </x:c>
      <x:c r="D32" s="10" t="str">
        <x:v>P0</x:v>
      </x:c>
      <x:c r="E32" s="10" t="str">
        <x:v>找回密码</x:v>
      </x:c>
      <x:c r="F32" s="10" t="str">
        <x:v>测试账号 A/B/C/D；独立浏览器配置；真实短信链路未接入时相关用例记阻塞</x:v>
      </x:c>
      <x:c r="G32" s="10" t="str">
        <x:v>打开找回密码
完成图形码、PASSWORD_RESET 短信与新密码
重新登录</x:v>
      </x:c>
      <x:c r="H32" s="10" t="str">
        <x:v>新密码有效
旧密码失效
页面可返回登录</x:v>
      </x:c>
      <x:c r="I32" s="10" t="str">
        <x:v>截图或录屏、脱敏请求响应、对象 ID、时间及相关日志</x:v>
      </x:c>
      <x:c r="J32" s="11" t="str">
        <x:v>未执行</x:v>
      </x:c>
      <x:c r="K32" s="11" t="str"/>
      <x:c r="L32" s="11" t="str"/>
      <x:c r="M32" s="11" t="str"/>
      <x:c r="N32" s="12"/>
      <x:c r="O32" s="11" t="str"/>
    </x:row>
    <x:row r="33" ht="39.599998474121094" hidden="0" customHeight="1">
      <x:c r="A33" s="10" t="str">
        <x:v>AUTH-016</x:v>
      </x:c>
      <x:c r="B33" s="10" t="str">
        <x:v>02 账号</x:v>
      </x:c>
      <x:c r="C33" s="10" t="str">
        <x:v>注册、登录与会话</x:v>
      </x:c>
      <x:c r="D33" s="10" t="str">
        <x:v>P1</x:v>
      </x:c>
      <x:c r="E33" s="10" t="str">
        <x:v>找回密码错误路径</x:v>
      </x:c>
      <x:c r="F33" s="10" t="str">
        <x:v>测试账号 A/B/C/D；独立浏览器配置；真实短信链路未接入时相关用例记阻塞</x:v>
      </x:c>
      <x:c r="G33" s="10" t="str">
        <x:v>空手机号、错误验证码、密码不合法、验证码重放</x:v>
      </x:c>
      <x:c r="H33" s="10" t="str">
        <x:v>请求被拒绝
密码不被修改</x:v>
      </x:c>
      <x:c r="I33" s="10" t="str">
        <x:v>截图或录屏、脱敏请求响应、对象 ID、时间及相关日志</x:v>
      </x:c>
      <x:c r="J33" s="11" t="str">
        <x:v>未执行</x:v>
      </x:c>
      <x:c r="K33" s="11" t="str"/>
      <x:c r="L33" s="11" t="str"/>
      <x:c r="M33" s="11" t="str"/>
      <x:c r="N33" s="12"/>
      <x:c r="O33" s="11" t="str"/>
    </x:row>
    <x:row r="34" ht="39.599998474121094" hidden="0" customHeight="1">
      <x:c r="A34" s="10" t="str">
        <x:v>AUTH-017</x:v>
      </x:c>
      <x:c r="B34" s="10" t="str">
        <x:v>02 账号</x:v>
      </x:c>
      <x:c r="C34" s="10" t="str">
        <x:v>注册、登录与会话</x:v>
      </x:c>
      <x:c r="D34" s="10" t="str">
        <x:v>P1</x:v>
      </x:c>
      <x:c r="E34" s="10" t="str">
        <x:v>登录失败限制</x:v>
      </x:c>
      <x:c r="F34" s="10" t="str">
        <x:v>测试账号 A/B/C/D；独立浏览器配置；真实短信链路未接入时相关用例记阻塞</x:v>
      </x:c>
      <x:c r="G34" s="10" t="str">
        <x:v>按配置连续错误登录达到阈值
等待窗口或用合法恢复流程</x:v>
      </x:c>
      <x:c r="H34" s="10" t="str">
        <x:v>有效限流/锁定
无无限尝试
其他账号不过度受影响</x:v>
      </x:c>
      <x:c r="I34" s="10" t="str">
        <x:v>截图或录屏、脱敏请求响应、对象 ID、时间及相关日志</x:v>
      </x:c>
      <x:c r="J34" s="11" t="str">
        <x:v>未执行</x:v>
      </x:c>
      <x:c r="K34" s="11" t="str"/>
      <x:c r="L34" s="11" t="str"/>
      <x:c r="M34" s="11" t="str"/>
      <x:c r="N34" s="12"/>
      <x:c r="O34" s="11" t="str"/>
    </x:row>
    <x:row r="35" ht="39.599998474121094" hidden="0" customHeight="1">
      <x:c r="A35" s="10" t="str">
        <x:v>AUTH-018</x:v>
      </x:c>
      <x:c r="B35" s="10" t="str">
        <x:v>02 账号</x:v>
      </x:c>
      <x:c r="C35" s="10" t="str">
        <x:v>注册、登录与会话</x:v>
      </x:c>
      <x:c r="D35" s="10" t="str">
        <x:v>P0</x:v>
      </x:c>
      <x:c r="E35" s="10" t="str">
        <x:v>刷新和新标签会话</x:v>
      </x:c>
      <x:c r="F35" s="10" t="str">
        <x:v>测试账号 A/B/C/D；独立浏览器配置；真实短信链路未接入时相关用例记阻塞</x:v>
      </x:c>
      <x:c r="G35" s="10" t="str">
        <x:v>登录后刷新、复制项目链接到同浏览器新标签</x:v>
      </x:c>
      <x:c r="H35" s="10" t="str">
        <x:v>登录状态恢复
数据不串账号</x:v>
      </x:c>
      <x:c r="I35" s="10" t="str">
        <x:v>截图或录屏、脱敏请求响应、对象 ID、时间及相关日志</x:v>
      </x:c>
      <x:c r="J35" s="11" t="str">
        <x:v>未执行</x:v>
      </x:c>
      <x:c r="K35" s="11" t="str"/>
      <x:c r="L35" s="11" t="str"/>
      <x:c r="M35" s="11" t="str"/>
      <x:c r="N35" s="12"/>
      <x:c r="O35" s="11" t="str"/>
    </x:row>
    <x:row r="36" ht="39.599998474121094" hidden="0" customHeight="1">
      <x:c r="A36" s="10" t="str">
        <x:v>AUTH-019</x:v>
      </x:c>
      <x:c r="B36" s="10" t="str">
        <x:v>02 账号</x:v>
      </x:c>
      <x:c r="C36" s="10" t="str">
        <x:v>注册、登录与会话</x:v>
      </x:c>
      <x:c r="D36" s="10" t="str">
        <x:v>P0</x:v>
      </x:c>
      <x:c r="E36" s="10" t="str">
        <x:v>未登录路由</x:v>
      </x:c>
      <x:c r="F36" s="10" t="str">
        <x:v>测试账号 A/B/C/D；独立浏览器配置；真实短信链路未接入时相关用例记阻塞</x:v>
      </x:c>
      <x:c r="G36" s="10" t="str">
        <x:v>无 Cookie 直接访问每类工作区/项目深链接</x:v>
      </x:c>
      <x:c r="H36" s="10" t="str">
        <x:v>跳转登录或 API 401
无保护数据闪现</x:v>
      </x:c>
      <x:c r="I36" s="10" t="str">
        <x:v>截图或录屏、脱敏请求响应、对象 ID、时间及相关日志</x:v>
      </x:c>
      <x:c r="J36" s="11" t="str">
        <x:v>未执行</x:v>
      </x:c>
      <x:c r="K36" s="11" t="str"/>
      <x:c r="L36" s="11" t="str"/>
      <x:c r="M36" s="11" t="str"/>
      <x:c r="N36" s="12"/>
      <x:c r="O36" s="11" t="str"/>
    </x:row>
    <x:row r="37" ht="39.599998474121094" hidden="0" customHeight="1">
      <x:c r="A37" s="10" t="str">
        <x:v>AUTH-020</x:v>
      </x:c>
      <x:c r="B37" s="10" t="str">
        <x:v>02 账号</x:v>
      </x:c>
      <x:c r="C37" s="10" t="str">
        <x:v>注册、登录与会话</x:v>
      </x:c>
      <x:c r="D37" s="10" t="str">
        <x:v>P1</x:v>
      </x:c>
      <x:c r="E37" s="10" t="str">
        <x:v>会话过期</x:v>
      </x:c>
      <x:c r="F37" s="10" t="str">
        <x:v>测试账号 A/B/C/D；独立浏览器配置；真实短信链路未接入时相关用例记阻塞</x:v>
      </x:c>
      <x:c r="G37" s="10" t="str">
        <x:v>在 QA 缩短会话时限或使测试会话过期
操作保存</x:v>
      </x:c>
      <x:c r="H37" s="10" t="str">
        <x:v>重新登录提示
不误显示保存成功
草稿策略明确</x:v>
      </x:c>
      <x:c r="I37" s="10" t="str">
        <x:v>截图或录屏、脱敏请求响应、对象 ID、时间及相关日志</x:v>
      </x:c>
      <x:c r="J37" s="11" t="str">
        <x:v>未执行</x:v>
      </x:c>
      <x:c r="K37" s="11" t="str"/>
      <x:c r="L37" s="11" t="str"/>
      <x:c r="M37" s="11" t="str"/>
      <x:c r="N37" s="12"/>
      <x:c r="O37" s="11" t="str"/>
    </x:row>
    <x:row r="38" ht="52.79999923706055" hidden="0" customHeight="1">
      <x:c r="A38" s="10" t="str">
        <x:v>AUTH-021</x:v>
      </x:c>
      <x:c r="B38" s="10" t="str">
        <x:v>02 账号</x:v>
      </x:c>
      <x:c r="C38" s="10" t="str">
        <x:v>注册、登录与会话</x:v>
      </x:c>
      <x:c r="D38" s="10" t="str">
        <x:v>P0</x:v>
      </x:c>
      <x:c r="E38" s="10" t="str">
        <x:v>退出登录</x:v>
      </x:c>
      <x:c r="F38" s="10" t="str">
        <x:v>测试账号 A/B/C/D；独立浏览器配置；真实短信链路未接入时相关用例记阻塞</x:v>
      </x:c>
      <x:c r="G38" s="10" t="str">
        <x:v>从用户菜单退出
后退
再次访问 /auth/me
重放旧 Cookie</x:v>
      </x:c>
      <x:c r="H38" s="10" t="str">
        <x:v>会话与认证失效
不能靠后退或旧 Cookie 继续访问</x:v>
      </x:c>
      <x:c r="I38" s="10" t="str">
        <x:v>截图或录屏、脱敏请求响应、对象 ID、时间及相关日志</x:v>
      </x:c>
      <x:c r="J38" s="11" t="str">
        <x:v>未执行</x:v>
      </x:c>
      <x:c r="K38" s="11" t="str"/>
      <x:c r="L38" s="11" t="str"/>
      <x:c r="M38" s="11" t="str"/>
      <x:c r="N38" s="12"/>
      <x:c r="O38" s="11" t="str"/>
    </x:row>
    <x:row r="39" ht="39.599998474121094" hidden="0" customHeight="1">
      <x:c r="A39" s="10" t="str">
        <x:v>AUTH-022</x:v>
      </x:c>
      <x:c r="B39" s="10" t="str">
        <x:v>02 账号</x:v>
      </x:c>
      <x:c r="C39" s="10" t="str">
        <x:v>注册、登录与会话</x:v>
      </x:c>
      <x:c r="D39" s="10" t="str">
        <x:v>P1</x:v>
      </x:c>
      <x:c r="E39" s="10" t="str">
        <x:v>多会话上限</x:v>
      </x:c>
      <x:c r="F39" s="10" t="str">
        <x:v>测试账号 A/B/C/D；独立浏览器配置；真实短信链路未接入时相关用例记阻塞</x:v>
      </x:c>
      <x:c r="G39" s="10" t="str">
        <x:v>同一测试账号建立超过配置上限的独立浏览器会话</x:v>
      </x:c>
      <x:c r="H39" s="10" t="str">
        <x:v>按策略拒绝或踢出旧会话
无无限有效会话</x:v>
      </x:c>
      <x:c r="I39" s="10" t="str">
        <x:v>截图或录屏、脱敏请求响应、对象 ID、时间及相关日志</x:v>
      </x:c>
      <x:c r="J39" s="11" t="str">
        <x:v>未执行</x:v>
      </x:c>
      <x:c r="K39" s="11" t="str"/>
      <x:c r="L39" s="11" t="str"/>
      <x:c r="M39" s="11" t="str"/>
      <x:c r="N39" s="12"/>
      <x:c r="O39" s="11" t="str"/>
    </x:row>
    <x:row r="40" ht="39.599998474121094" hidden="0" customHeight="1">
      <x:c r="A40" s="10" t="str">
        <x:v>AUTH-023</x:v>
      </x:c>
      <x:c r="B40" s="10" t="str">
        <x:v>02 账号</x:v>
      </x:c>
      <x:c r="C40" s="10" t="str">
        <x:v>注册、登录与会话</x:v>
      </x:c>
      <x:c r="D40" s="10" t="str">
        <x:v>P1</x:v>
      </x:c>
      <x:c r="E40" s="10" t="str">
        <x:v>CSRF 正常流程</x:v>
      </x:c>
      <x:c r="F40" s="10" t="str">
        <x:v>测试账号 A/B/C/D；独立浏览器配置；真实短信链路未接入时相关用例记阻塞</x:v>
      </x:c>
      <x:c r="G40" s="10" t="str">
        <x:v>登录后保存配置
观察 XSRF-TOKEN 与请求头</x:v>
      </x:c>
      <x:c r="H40" s="10" t="str">
        <x:v>合法写请求成功
token 自动获取
Cookie 不泄露密码</x:v>
      </x:c>
      <x:c r="I40" s="10" t="str">
        <x:v>截图或录屏、脱敏请求响应、对象 ID、时间及相关日志</x:v>
      </x:c>
      <x:c r="J40" s="11" t="str">
        <x:v>未执行</x:v>
      </x:c>
      <x:c r="K40" s="11" t="str"/>
      <x:c r="L40" s="11" t="str"/>
      <x:c r="M40" s="11" t="str"/>
      <x:c r="N40" s="12"/>
      <x:c r="O40" s="11" t="str"/>
    </x:row>
    <x:row r="41" ht="39.599998474121094" hidden="0" customHeight="1">
      <x:c r="A41" s="10" t="str">
        <x:v>AUTH-024</x:v>
      </x:c>
      <x:c r="B41" s="10" t="str">
        <x:v>02 账号</x:v>
      </x:c>
      <x:c r="C41" s="10" t="str">
        <x:v>注册、登录与会话</x:v>
      </x:c>
      <x:c r="D41" s="10" t="str">
        <x:v>P1</x:v>
      </x:c>
      <x:c r="E41" s="10" t="str">
        <x:v>登录后工作台失败</x:v>
      </x:c>
      <x:c r="F41" s="10" t="str">
        <x:v>测试账号 A/B/C/D；独立浏览器配置；真实短信链路未接入时相关用例记阻塞</x:v>
      </x:c>
      <x:c r="G41" s="10" t="str">
        <x:v>在登录成功后阻断工作区列表请求
恢复再进入</x:v>
      </x:c>
      <x:c r="H41" s="10" t="str">
        <x:v>显示工作台打开失败
不假称登录失败
可恢复</x:v>
      </x:c>
      <x:c r="I41" s="10" t="str">
        <x:v>截图或录屏、脱敏请求响应、对象 ID、时间及相关日志</x:v>
      </x:c>
      <x:c r="J41" s="11" t="str">
        <x:v>未执行</x:v>
      </x:c>
      <x:c r="K41" s="11" t="str"/>
      <x:c r="L41" s="11" t="str"/>
      <x:c r="M41" s="11" t="str"/>
      <x:c r="N41" s="12"/>
      <x:c r="O41" s="11" t="str"/>
    </x:row>
    <x:row r="42" ht="39.599998474121094" hidden="0" customHeight="1">
      <x:c r="A42" s="10" t="str">
        <x:v>WS-001</x:v>
      </x:c>
      <x:c r="B42" s="10" t="str">
        <x:v>02 账号</x:v>
      </x:c>
      <x:c r="C42" s="10" t="str">
        <x:v>工作区与成员</x:v>
      </x:c>
      <x:c r="D42" s="10" t="str">
        <x:v>P0</x:v>
      </x:c>
      <x:c r="E42" s="10" t="str">
        <x:v>工作区首次创建</x:v>
      </x:c>
      <x:c r="F42" s="10" t="str">
        <x:v>A=QA-A OWNER，B=QA-A ADMIN，C=QA-A MEMBER，D=仅 QA-B OWNER</x:v>
      </x:c>
      <x:c r="G42" s="10" t="str">
        <x:v>新账号首次进入
核对默认工作区
再创建 QA-A/QA-B</x:v>
      </x:c>
      <x:c r="H42" s="10" t="str">
        <x:v>仅创建必要默认工作区
名称、ID 与成员归属正确</x:v>
      </x:c>
      <x:c r="I42" s="10" t="str">
        <x:v>截图或录屏、脱敏请求响应、对象 ID、时间及相关日志</x:v>
      </x:c>
      <x:c r="J42" s="11" t="str">
        <x:v>未执行</x:v>
      </x:c>
      <x:c r="K42" s="11" t="str"/>
      <x:c r="L42" s="11" t="str"/>
      <x:c r="M42" s="11" t="str"/>
      <x:c r="N42" s="12"/>
      <x:c r="O42" s="11" t="str"/>
    </x:row>
    <x:row r="43" ht="26.399999618530273" hidden="0" customHeight="1">
      <x:c r="A43" s="10" t="str">
        <x:v>WS-002</x:v>
      </x:c>
      <x:c r="B43" s="10" t="str">
        <x:v>02 账号</x:v>
      </x:c>
      <x:c r="C43" s="10" t="str">
        <x:v>工作区与成员</x:v>
      </x:c>
      <x:c r="D43" s="10" t="str">
        <x:v>P0</x:v>
      </x:c>
      <x:c r="E43" s="10" t="str">
        <x:v>工作区切换</x:v>
      </x:c>
      <x:c r="F43" s="10" t="str">
        <x:v>A=QA-A OWNER，B=QA-A ADMIN，C=QA-A MEMBER，D=仅 QA-B OWNER</x:v>
      </x:c>
      <x:c r="G43" s="10" t="str">
        <x:v>A 在两个工作区来回切换并快速切换
浏览器后退</x:v>
      </x:c>
      <x:c r="H43" s="10" t="str">
        <x:v>名称、项目、统计、成员、配置全部跟随当前工作区
迟到响应不覆盖新页面</x:v>
      </x:c>
      <x:c r="I43" s="10" t="str">
        <x:v>截图或录屏、脱敏请求响应、对象 ID、时间及相关日志</x:v>
      </x:c>
      <x:c r="J43" s="11" t="str">
        <x:v>未执行</x:v>
      </x:c>
      <x:c r="K43" s="11" t="str"/>
      <x:c r="L43" s="11" t="str"/>
      <x:c r="M43" s="11" t="str"/>
      <x:c r="N43" s="12"/>
      <x:c r="O43" s="11" t="str"/>
    </x:row>
    <x:row r="44" ht="39.599998474121094" hidden="0" customHeight="1">
      <x:c r="A44" s="10" t="str">
        <x:v>WS-003</x:v>
      </x:c>
      <x:c r="B44" s="10" t="str">
        <x:v>02 账号</x:v>
      </x:c>
      <x:c r="C44" s="10" t="str">
        <x:v>工作区与成员</x:v>
      </x:c>
      <x:c r="D44" s="10" t="str">
        <x:v>P1</x:v>
      </x:c>
      <x:c r="E44" s="10" t="str">
        <x:v>工作区信息保存</x:v>
      </x:c>
      <x:c r="F44" s="10" t="str">
        <x:v>A=QA-A OWNER，B=QA-A ADMIN，C=QA-A MEMBER，D=仅 QA-B OWNER</x:v>
      </x:c>
      <x:c r="G44" s="10" t="str">
        <x:v>更改名称、描述与代码展示
刷新
复制代码</x:v>
      </x:c>
      <x:c r="H44" s="10" t="str">
        <x:v>数据库回读一致
必填校验有效
复制内容正确</x:v>
      </x:c>
      <x:c r="I44" s="10" t="str">
        <x:v>截图或录屏、脱敏请求响应、对象 ID、时间及相关日志</x:v>
      </x:c>
      <x:c r="J44" s="11" t="str">
        <x:v>未执行</x:v>
      </x:c>
      <x:c r="K44" s="11" t="str"/>
      <x:c r="L44" s="11" t="str"/>
      <x:c r="M44" s="11" t="str"/>
      <x:c r="N44" s="12"/>
      <x:c r="O44" s="11" t="str"/>
    </x:row>
    <x:row r="45" ht="39.599998474121094" hidden="0" customHeight="1">
      <x:c r="A45" s="10" t="str">
        <x:v>WS-004</x:v>
      </x:c>
      <x:c r="B45" s="10" t="str">
        <x:v>02 账号</x:v>
      </x:c>
      <x:c r="C45" s="10" t="str">
        <x:v>工作区与成员</x:v>
      </x:c>
      <x:c r="D45" s="10" t="str">
        <x:v>P1</x:v>
      </x:c>
      <x:c r="E45" s="10" t="str">
        <x:v>工作区偏好</x:v>
      </x:c>
      <x:c r="F45" s="10" t="str">
        <x:v>A=QA-A OWNER，B=QA-A ADMIN，C=QA-A MEMBER，D=仅 QA-B OWNER</x:v>
      </x:c>
      <x:c r="G45" s="10" t="str">
        <x:v>分别保存联网、引用、保留期偏好，再保存工具策略</x:v>
      </x:c>
      <x:c r="H45" s="10" t="str">
        <x:v>各项持久化
保存一类偏好不清空另一类
运行策略实际生效</x:v>
      </x:c>
      <x:c r="I45" s="10" t="str">
        <x:v>截图或录屏、脱敏请求响应、对象 ID、时间及相关日志</x:v>
      </x:c>
      <x:c r="J45" s="11" t="str">
        <x:v>未执行</x:v>
      </x:c>
      <x:c r="K45" s="11" t="str"/>
      <x:c r="L45" s="11" t="str"/>
      <x:c r="M45" s="11" t="str"/>
      <x:c r="N45" s="12"/>
      <x:c r="O45" s="11" t="str"/>
    </x:row>
    <x:row r="46" ht="39.599998474121094" hidden="0" customHeight="1">
      <x:c r="A46" s="10" t="str">
        <x:v>WS-005</x:v>
      </x:c>
      <x:c r="B46" s="10" t="str">
        <x:v>02 账号</x:v>
      </x:c>
      <x:c r="C46" s="10" t="str">
        <x:v>工作区与成员</x:v>
      </x:c>
      <x:c r="D46" s="10" t="str">
        <x:v>P1</x:v>
      </x:c>
      <x:c r="E46" s="10" t="str">
        <x:v>成员列表与重试</x:v>
      </x:c>
      <x:c r="F46" s="10" t="str">
        <x:v>A=QA-A OWNER，B=QA-A ADMIN，C=QA-A MEMBER，D=仅 QA-B OWNER</x:v>
      </x:c>
      <x:c r="G46" s="10" t="str">
        <x:v>查看用户名、手机号、角色、部门、职务与活跃信息
阻断接口后重试</x:v>
      </x:c>
      <x:c r="H46" s="10" t="str">
        <x:v>显示真实数据
加载/失败/空状态可区分
恢复可重新载入</x:v>
      </x:c>
      <x:c r="I46" s="10" t="str">
        <x:v>截图或录屏、脱敏请求响应、对象 ID、时间及相关日志</x:v>
      </x:c>
      <x:c r="J46" s="11" t="str">
        <x:v>未执行</x:v>
      </x:c>
      <x:c r="K46" s="11" t="str"/>
      <x:c r="L46" s="11" t="str"/>
      <x:c r="M46" s="11" t="str"/>
      <x:c r="N46" s="12"/>
      <x:c r="O46" s="11" t="str"/>
    </x:row>
    <x:row r="47" ht="39.599998474121094" hidden="0" customHeight="1">
      <x:c r="A47" s="10" t="str">
        <x:v>WS-006</x:v>
      </x:c>
      <x:c r="B47" s="10" t="str">
        <x:v>02 账号</x:v>
      </x:c>
      <x:c r="C47" s="10" t="str">
        <x:v>工作区与成员</x:v>
      </x:c>
      <x:c r="D47" s="10" t="str">
        <x:v>P0</x:v>
      </x:c>
      <x:c r="E47" s="10" t="str">
        <x:v>邀请普通成员</x:v>
      </x:c>
      <x:c r="F47" s="10" t="str">
        <x:v>A=QA-A OWNER，B=QA-A ADMIN，C=QA-A MEMBER，D=仅 QA-B OWNER</x:v>
      </x:c>
      <x:c r="G47" s="10" t="str">
        <x:v>邀请 C 到 QA-A，填写部门/职务/备注
C 查看邀请并接受</x:v>
      </x:c>
      <x:c r="H47" s="10" t="str">
        <x:v>邀请与成员信息完整
接受后可切换 QA-A
角色 MEMBER</x:v>
      </x:c>
      <x:c r="I47" s="10" t="str">
        <x:v>截图或录屏、脱敏请求响应、对象 ID、时间及相关日志</x:v>
      </x:c>
      <x:c r="J47" s="11" t="str">
        <x:v>未执行</x:v>
      </x:c>
      <x:c r="K47" s="11" t="str"/>
      <x:c r="L47" s="11" t="str"/>
      <x:c r="M47" s="11" t="str"/>
      <x:c r="N47" s="12"/>
      <x:c r="O47" s="11" t="str"/>
    </x:row>
    <x:row r="48" ht="39.599998474121094" hidden="0" customHeight="1">
      <x:c r="A48" s="10" t="str">
        <x:v>WS-007</x:v>
      </x:c>
      <x:c r="B48" s="10" t="str">
        <x:v>02 账号</x:v>
      </x:c>
      <x:c r="C48" s="10" t="str">
        <x:v>工作区与成员</x:v>
      </x:c>
      <x:c r="D48" s="10" t="str">
        <x:v>P1</x:v>
      </x:c>
      <x:c r="E48" s="10" t="str">
        <x:v>邀请管理员</x:v>
      </x:c>
      <x:c r="F48" s="10" t="str">
        <x:v>A=QA-A OWNER，B=QA-A ADMIN，C=QA-A MEMBER，D=仅 QA-B OWNER</x:v>
      </x:c>
      <x:c r="G48" s="10" t="str">
        <x:v>A 邀请 B 为 ADMIN
B 接受
测试允许的管理操作</x:v>
      </x:c>
      <x:c r="H48" s="10" t="str">
        <x:v>权限与成员列表一致
仅合法邀请人可邀请</x:v>
      </x:c>
      <x:c r="I48" s="10" t="str">
        <x:v>截图或录屏、脱敏请求响应、对象 ID、时间及相关日志</x:v>
      </x:c>
      <x:c r="J48" s="11" t="str">
        <x:v>未执行</x:v>
      </x:c>
      <x:c r="K48" s="11" t="str"/>
      <x:c r="L48" s="11" t="str"/>
      <x:c r="M48" s="11" t="str"/>
      <x:c r="N48" s="12"/>
      <x:c r="O48" s="11" t="str"/>
    </x:row>
    <x:row r="49" ht="39.599998474121094" hidden="0" customHeight="1">
      <x:c r="A49" s="10" t="str">
        <x:v>WS-008</x:v>
      </x:c>
      <x:c r="B49" s="10" t="str">
        <x:v>02 账号</x:v>
      </x:c>
      <x:c r="C49" s="10" t="str">
        <x:v>工作区与成员</x:v>
      </x:c>
      <x:c r="D49" s="10" t="str">
        <x:v>P1</x:v>
      </x:c>
      <x:c r="E49" s="10" t="str">
        <x:v>拒绝与撤销邀请</x:v>
      </x:c>
      <x:c r="F49" s="10" t="str">
        <x:v>A=QA-A OWNER，B=QA-A ADMIN，C=QA-A MEMBER，D=仅 QA-B OWNER</x:v>
      </x:c>
      <x:c r="G49" s="10" t="str">
        <x:v>C 拒绝一张新邀请
A 撤销另一张
重放接受请求</x:v>
      </x:c>
      <x:c r="H49" s="10" t="str">
        <x:v>拒绝/撤销状态正确
失效邀请不能加入</x:v>
      </x:c>
      <x:c r="I49" s="10" t="str">
        <x:v>截图或录屏、脱敏请求响应、对象 ID、时间及相关日志</x:v>
      </x:c>
      <x:c r="J49" s="11" t="str">
        <x:v>未执行</x:v>
      </x:c>
      <x:c r="K49" s="11" t="str"/>
      <x:c r="L49" s="11" t="str"/>
      <x:c r="M49" s="11" t="str"/>
      <x:c r="N49" s="12"/>
      <x:c r="O49" s="11" t="str"/>
    </x:row>
    <x:row r="50" ht="39.599998474121094" hidden="0" customHeight="1">
      <x:c r="A50" s="10" t="str">
        <x:v>WS-009</x:v>
      </x:c>
      <x:c r="B50" s="10" t="str">
        <x:v>02 账号</x:v>
      </x:c>
      <x:c r="C50" s="10" t="str">
        <x:v>工作区与成员</x:v>
      </x:c>
      <x:c r="D50" s="10" t="str">
        <x:v>P1</x:v>
      </x:c>
      <x:c r="E50" s="10" t="str">
        <x:v>过期与重复邀请</x:v>
      </x:c>
      <x:c r="F50" s="10" t="str">
        <x:v>A=QA-A OWNER，B=QA-A ADMIN，C=QA-A MEMBER，D=仅 QA-B OWNER</x:v>
      </x:c>
      <x:c r="G50" s="10" t="str">
        <x:v>在 QA 准备过期邀请、重复邀请及已是成员的手机号</x:v>
      </x:c>
      <x:c r="H50" s="10" t="str">
        <x:v>不产生重复成员
过期邀请无效
错误清楚</x:v>
      </x:c>
      <x:c r="I50" s="10" t="str">
        <x:v>截图或录屏、脱敏请求响应、对象 ID、时间及相关日志</x:v>
      </x:c>
      <x:c r="J50" s="11" t="str">
        <x:v>未执行</x:v>
      </x:c>
      <x:c r="K50" s="11" t="str"/>
      <x:c r="L50" s="11" t="str"/>
      <x:c r="M50" s="11" t="str"/>
      <x:c r="N50" s="12"/>
      <x:c r="O50" s="11" t="str"/>
    </x:row>
    <x:row r="51" ht="39.599998474121094" hidden="0" customHeight="1">
      <x:c r="A51" s="10" t="str">
        <x:v>WS-010</x:v>
      </x:c>
      <x:c r="B51" s="10" t="str">
        <x:v>02 账号</x:v>
      </x:c>
      <x:c r="C51" s="10" t="str">
        <x:v>工作区与成员</x:v>
      </x:c>
      <x:c r="D51" s="10" t="str">
        <x:v>P0</x:v>
      </x:c>
      <x:c r="E51" s="10" t="str">
        <x:v>角色修改</x:v>
      </x:c>
      <x:c r="F51" s="10" t="str">
        <x:v>A=QA-A OWNER，B=QA-A ADMIN，C=QA-A MEMBER，D=仅 QA-B OWNER</x:v>
      </x:c>
      <x:c r="G51" s="10" t="str">
        <x:v>A/B 将 C 在 MEMBER/ADMIN 之间切换
刷新 C 会话</x:v>
      </x:c>
      <x:c r="H51" s="10" t="str">
        <x:v>角色真实生效
前后端权限同步
降权后敏感写操作受限</x:v>
      </x:c>
      <x:c r="I51" s="10" t="str">
        <x:v>截图或录屏、脱敏请求响应、对象 ID、时间及相关日志</x:v>
      </x:c>
      <x:c r="J51" s="11" t="str">
        <x:v>未执行</x:v>
      </x:c>
      <x:c r="K51" s="11" t="str"/>
      <x:c r="L51" s="11" t="str"/>
      <x:c r="M51" s="11" t="str"/>
      <x:c r="N51" s="12"/>
      <x:c r="O51" s="11" t="str"/>
    </x:row>
    <x:row r="52" ht="26.399999618530273" hidden="0" customHeight="1">
      <x:c r="A52" s="10" t="str">
        <x:v>WS-011</x:v>
      </x:c>
      <x:c r="B52" s="10" t="str">
        <x:v>02 账号</x:v>
      </x:c>
      <x:c r="C52" s="10" t="str">
        <x:v>工作区与成员</x:v>
      </x:c>
      <x:c r="D52" s="10" t="str">
        <x:v>P0</x:v>
      </x:c>
      <x:c r="E52" s="10" t="str">
        <x:v>保护所有者</x:v>
      </x:c>
      <x:c r="F52" s="10" t="str">
        <x:v>A=QA-A OWNER，B=QA-A ADMIN，C=QA-A MEMBER，D=仅 QA-B OWNER</x:v>
      </x:c>
      <x:c r="G52" s="10" t="str">
        <x:v>尝试把 OWNER 降权
C 尝试修改角色或邀请</x:v>
      </x:c>
      <x:c r="H52" s="10" t="str">
        <x:v>OWNER 不能被该角色接口修改
普通成员无管理权限</x:v>
      </x:c>
      <x:c r="I52" s="10" t="str">
        <x:v>截图或录屏、脱敏请求响应、对象 ID、时间及相关日志</x:v>
      </x:c>
      <x:c r="J52" s="11" t="str">
        <x:v>未执行</x:v>
      </x:c>
      <x:c r="K52" s="11" t="str"/>
      <x:c r="L52" s="11" t="str"/>
      <x:c r="M52" s="11" t="str"/>
      <x:c r="N52" s="12"/>
      <x:c r="O52" s="11" t="str"/>
    </x:row>
    <x:row r="53" ht="26.399999618530273" hidden="0" customHeight="1">
      <x:c r="A53" s="10" t="str">
        <x:v>WS-012</x:v>
      </x:c>
      <x:c r="B53" s="10" t="str">
        <x:v>02 账号</x:v>
      </x:c>
      <x:c r="C53" s="10" t="str">
        <x:v>工作区与成员</x:v>
      </x:c>
      <x:c r="D53" s="10" t="str">
        <x:v>P1</x:v>
      </x:c>
      <x:c r="E53" s="10" t="str">
        <x:v>工作区归档与恢复接口</x:v>
      </x:c>
      <x:c r="F53" s="10" t="str">
        <x:v>A=QA-A OWNER，B=QA-A ADMIN，C=QA-A MEMBER，D=仅 QA-B OWNER</x:v>
      </x:c>
      <x:c r="G53" s="10" t="str">
        <x:v>仅在 QA 通过 archive/restore 接口操作
检查列表与写请求</x:v>
      </x:c>
      <x:c r="H53" s="10" t="str">
        <x:v>状态与产品约定一致
归档策略不得只由前端控制</x:v>
      </x:c>
      <x:c r="I53" s="10" t="str">
        <x:v>截图或录屏、脱敏请求响应、对象 ID、时间及相关日志</x:v>
      </x:c>
      <x:c r="J53" s="11" t="str">
        <x:v>未执行</x:v>
      </x:c>
      <x:c r="K53" s="11" t="str"/>
      <x:c r="L53" s="11" t="str"/>
      <x:c r="M53" s="11" t="str"/>
      <x:c r="N53" s="12"/>
      <x:c r="O53" s="11" t="str"/>
    </x:row>
    <x:row r="54" ht="39.599998474121094" hidden="0" customHeight="1">
      <x:c r="A54" s="10" t="str">
        <x:v>WS-013</x:v>
      </x:c>
      <x:c r="B54" s="10" t="str">
        <x:v>02 账号</x:v>
      </x:c>
      <x:c r="C54" s="10" t="str">
        <x:v>工作区与成员</x:v>
      </x:c>
      <x:c r="D54" s="10" t="str">
        <x:v>P0</x:v>
      </x:c>
      <x:c r="E54" s="10" t="str">
        <x:v>工作区删除</x:v>
      </x:c>
      <x:c r="F54" s="10" t="str">
        <x:v>A=QA-A OWNER，B=QA-A ADMIN，C=QA-A MEMBER，D=仅 QA-B OWNER</x:v>
      </x:c>
      <x:c r="G54" s="10" t="str">
        <x:v>仅删可销毁 QA 工作区
先取消删除再确认
访问原链接</x:v>
      </x:c>
      <x:c r="H54" s="10" t="str">
        <x:v>取消无影响
确认后不可继续读取/写入
关联项目不可误留可访问</x:v>
      </x:c>
      <x:c r="I54" s="10" t="str">
        <x:v>截图或录屏、脱敏请求响应、对象 ID、时间及相关日志</x:v>
      </x:c>
      <x:c r="J54" s="11" t="str">
        <x:v>未执行</x:v>
      </x:c>
      <x:c r="K54" s="11" t="str"/>
      <x:c r="L54" s="11" t="str"/>
      <x:c r="M54" s="11" t="str"/>
      <x:c r="N54" s="12"/>
      <x:c r="O54" s="11" t="str"/>
    </x:row>
    <x:row r="55" ht="26.399999618530273" hidden="0" customHeight="1">
      <x:c r="A55" s="10" t="str">
        <x:v>WS-014</x:v>
      </x:c>
      <x:c r="B55" s="10" t="str">
        <x:v>02 账号</x:v>
      </x:c>
      <x:c r="C55" s="10" t="str">
        <x:v>工作区与成员</x:v>
      </x:c>
      <x:c r="D55" s="10" t="str">
        <x:v>P0</x:v>
      </x:c>
      <x:c r="E55" s="10" t="str">
        <x:v>工作区越权</x:v>
      </x:c>
      <x:c r="F55" s="10" t="str">
        <x:v>A=QA-A OWNER，B=QA-A ADMIN，C=QA-A MEMBER，D=仅 QA-B OWNER</x:v>
      </x:c>
      <x:c r="G55" s="10" t="str">
        <x:v>D 使用 QA-A 的工作区/成员/邀请 ID 调用接口</x:v>
      </x:c>
      <x:c r="H55" s="10" t="str">
        <x:v>无权读写
403/404 均可，不能返回其他租户的数据</x:v>
      </x:c>
      <x:c r="I55" s="10" t="str">
        <x:v>截图或录屏、脱敏请求响应、对象 ID、时间及相关日志</x:v>
      </x:c>
      <x:c r="J55" s="11" t="str">
        <x:v>未执行</x:v>
      </x:c>
      <x:c r="K55" s="11" t="str"/>
      <x:c r="L55" s="11" t="str"/>
      <x:c r="M55" s="11" t="str"/>
      <x:c r="N55" s="12"/>
      <x:c r="O55" s="11" t="str"/>
    </x:row>
    <x:row r="56" ht="39.599998474121094" hidden="0" customHeight="1">
      <x:c r="A56" s="10" t="str">
        <x:v>PRJ-001</x:v>
      </x:c>
      <x:c r="B56" s="10" t="str">
        <x:v>03 配置与项目</x:v>
      </x:c>
      <x:c r="C56" s="10" t="str">
        <x:v>项目管理</x:v>
      </x:c>
      <x:c r="D56" s="10" t="str">
        <x:v>P0</x:v>
      </x:c>
      <x:c r="E56" s="10" t="str">
        <x:v>新建共享项目</x:v>
      </x:c>
      <x:c r="F56" s="10" t="str">
        <x:v>A 的 QA-A 工作区；创建共享项目 P1、P2 与私有项目 PP</x:v>
      </x:c>
      <x:c r="G56" s="10" t="str">
        <x:v>填写名称、描述、颜色、可见性与代码
提交并重新打开</x:v>
      </x:c>
      <x:c r="H56" s="10" t="str">
        <x:v>只创建一条
所有字段回读一致
可进入项目流程</x:v>
      </x:c>
      <x:c r="I56" s="10" t="str">
        <x:v>截图或录屏、脱敏请求响应、对象 ID、时间及相关日志</x:v>
      </x:c>
      <x:c r="J56" s="11" t="str">
        <x:v>未执行</x:v>
      </x:c>
      <x:c r="K56" s="11" t="str"/>
      <x:c r="L56" s="11" t="str"/>
      <x:c r="M56" s="11" t="str"/>
      <x:c r="N56" s="12"/>
      <x:c r="O56" s="11" t="str"/>
    </x:row>
    <x:row r="57" ht="26.399999618530273" hidden="0" customHeight="1">
      <x:c r="A57" s="10" t="str">
        <x:v>PRJ-002</x:v>
      </x:c>
      <x:c r="B57" s="10" t="str">
        <x:v>03 配置与项目</x:v>
      </x:c>
      <x:c r="C57" s="10" t="str">
        <x:v>项目管理</x:v>
      </x:c>
      <x:c r="D57" s="10" t="str">
        <x:v>P1</x:v>
      </x:c>
      <x:c r="E57" s="10" t="str">
        <x:v>项目表单边界</x:v>
      </x:c>
      <x:c r="F57" s="10" t="str">
        <x:v>A 的 QA-A 工作区；创建共享项目 P1、P2 与私有项目 PP</x:v>
      </x:c>
      <x:c r="G57" s="10" t="str">
        <x:v>空名称、重复代码、超长值、非法颜色/可见性
绕过 UI 提交</x:v>
      </x:c>
      <x:c r="H57" s="10" t="str">
        <x:v>后端正确拒绝
无半成品项目</x:v>
      </x:c>
      <x:c r="I57" s="10" t="str">
        <x:v>截图或录屏、脱敏请求响应、对象 ID、时间及相关日志</x:v>
      </x:c>
      <x:c r="J57" s="11" t="str">
        <x:v>未执行</x:v>
      </x:c>
      <x:c r="K57" s="11" t="str"/>
      <x:c r="L57" s="11" t="str"/>
      <x:c r="M57" s="11" t="str"/>
      <x:c r="N57" s="12"/>
      <x:c r="O57" s="11" t="str"/>
    </x:row>
    <x:row r="58" ht="26.399999618530273" hidden="0" customHeight="1">
      <x:c r="A58" s="10" t="str">
        <x:v>PRJ-003</x:v>
      </x:c>
      <x:c r="B58" s="10" t="str">
        <x:v>03 配置与项目</x:v>
      </x:c>
      <x:c r="C58" s="10" t="str">
        <x:v>项目管理</x:v>
      </x:c>
      <x:c r="D58" s="10" t="str">
        <x:v>P0</x:v>
      </x:c>
      <x:c r="E58" s="10" t="str">
        <x:v>私有项目隔离</x:v>
      </x:c>
      <x:c r="F58" s="10" t="str">
        <x:v>A 的 QA-A 工作区；创建共享项目 P1、P2 与私有项目 PP</x:v>
      </x:c>
      <x:c r="G58" s="10" t="str">
        <x:v>A 创建 PP
B/C 查看列表并直访 PP URL/API</x:v>
      </x:c>
      <x:c r="H58" s="10" t="str">
        <x:v>只有被定义为允许的人能看到
当前实现按创建者隔离需如实验证</x:v>
      </x:c>
      <x:c r="I58" s="10" t="str">
        <x:v>截图或录屏、脱敏请求响应、对象 ID、时间及相关日志</x:v>
      </x:c>
      <x:c r="J58" s="11" t="str">
        <x:v>未执行</x:v>
      </x:c>
      <x:c r="K58" s="11" t="str"/>
      <x:c r="L58" s="11" t="str"/>
      <x:c r="M58" s="11" t="str"/>
      <x:c r="N58" s="12"/>
      <x:c r="O58" s="11" t="str"/>
    </x:row>
    <x:row r="59" ht="39.599998474121094" hidden="0" customHeight="1">
      <x:c r="A59" s="10" t="str">
        <x:v>PRJ-004</x:v>
      </x:c>
      <x:c r="B59" s="10" t="str">
        <x:v>03 配置与项目</x:v>
      </x:c>
      <x:c r="C59" s="10" t="str">
        <x:v>项目管理</x:v>
      </x:c>
      <x:c r="D59" s="10" t="str">
        <x:v>P1</x:v>
      </x:c>
      <x:c r="E59" s="10" t="str">
        <x:v>项目搜索与筛选</x:v>
      </x:c>
      <x:c r="F59" s="10" t="str">
        <x:v>A 的 QA-A 工作区；创建共享项目 P1、P2 与私有项目 PP</x:v>
      </x:c>
      <x:c r="G59" s="10" t="str">
        <x:v>按名称/代码搜索
筛选状态
制造多页记录翻页</x:v>
      </x:c>
      <x:c r="H59" s="10" t="str">
        <x:v>匹配、数量、分页准确
空结果不显示旧列表</x:v>
      </x:c>
      <x:c r="I59" s="10" t="str">
        <x:v>截图或录屏、脱敏请求响应、对象 ID、时间及相关日志</x:v>
      </x:c>
      <x:c r="J59" s="11" t="str">
        <x:v>未执行</x:v>
      </x:c>
      <x:c r="K59" s="11" t="str"/>
      <x:c r="L59" s="11" t="str"/>
      <x:c r="M59" s="11" t="str"/>
      <x:c r="N59" s="12"/>
      <x:c r="O59" s="11" t="str"/>
    </x:row>
    <x:row r="60" ht="26.399999618530273" hidden="0" customHeight="1">
      <x:c r="A60" s="10" t="str">
        <x:v>PRJ-005</x:v>
      </x:c>
      <x:c r="B60" s="10" t="str">
        <x:v>03 配置与项目</x:v>
      </x:c>
      <x:c r="C60" s="10" t="str">
        <x:v>项目管理</x:v>
      </x:c>
      <x:c r="D60" s="10" t="str">
        <x:v>P1</x:v>
      </x:c>
      <x:c r="E60" s="10" t="str">
        <x:v>项目编辑</x:v>
      </x:c>
      <x:c r="F60" s="10" t="str">
        <x:v>A 的 QA-A 工作区；创建共享项目 P1、P2 与私有项目 PP</x:v>
      </x:c>
      <x:c r="G60" s="10" t="str">
        <x:v>改名、描述、颜色、可见性
取消一次再保存一次</x:v>
      </x:c>
      <x:c r="H60" s="10" t="str">
        <x:v>取消不写入
保存后各页面项目名一致</x:v>
      </x:c>
      <x:c r="I60" s="10" t="str">
        <x:v>截图或录屏、脱敏请求响应、对象 ID、时间及相关日志</x:v>
      </x:c>
      <x:c r="J60" s="11" t="str">
        <x:v>未执行</x:v>
      </x:c>
      <x:c r="K60" s="11" t="str"/>
      <x:c r="L60" s="11" t="str"/>
      <x:c r="M60" s="11" t="str"/>
      <x:c r="N60" s="12"/>
      <x:c r="O60" s="11" t="str"/>
    </x:row>
    <x:row r="61" ht="39.599998474121094" hidden="0" customHeight="1">
      <x:c r="A61" s="10" t="str">
        <x:v>PRJ-006</x:v>
      </x:c>
      <x:c r="B61" s="10" t="str">
        <x:v>03 配置与项目</x:v>
      </x:c>
      <x:c r="C61" s="10" t="str">
        <x:v>项目管理</x:v>
      </x:c>
      <x:c r="D61" s="10" t="str">
        <x:v>P0</x:v>
      </x:c>
      <x:c r="E61" s="10" t="str">
        <x:v>归档项目</x:v>
      </x:c>
      <x:c r="F61" s="10" t="str">
        <x:v>A 的 QA-A 工作区；创建共享项目 P1、P2 与私有项目 PP</x:v>
      </x:c>
      <x:c r="G61" s="10" t="str">
        <x:v>归档 P2
尝试上传、调研、编辑、报告更新
再恢复</x:v>
      </x:c>
      <x:c r="H61" s="10" t="str">
        <x:v>归档状态可识别
写限制按已明确的上线规则实际生效</x:v>
      </x:c>
      <x:c r="I61" s="10" t="str">
        <x:v>截图或录屏、脱敏请求响应、对象 ID、时间及相关日志</x:v>
      </x:c>
      <x:c r="J61" s="11" t="str">
        <x:v>未执行</x:v>
      </x:c>
      <x:c r="K61" s="11" t="str"/>
      <x:c r="L61" s="11" t="str"/>
      <x:c r="M61" s="11" t="str"/>
      <x:c r="N61" s="12"/>
      <x:c r="O61" s="11" t="str"/>
    </x:row>
    <x:row r="62" ht="39.599998474121094" hidden="0" customHeight="1">
      <x:c r="A62" s="10" t="str">
        <x:v>PRJ-007</x:v>
      </x:c>
      <x:c r="B62" s="10" t="str">
        <x:v>03 配置与项目</x:v>
      </x:c>
      <x:c r="C62" s="10" t="str">
        <x:v>项目管理</x:v>
      </x:c>
      <x:c r="D62" s="10" t="str">
        <x:v>P1</x:v>
      </x:c>
      <x:c r="E62" s="10" t="str">
        <x:v>恢复项目</x:v>
      </x:c>
      <x:c r="F62" s="10" t="str">
        <x:v>A 的 QA-A 工作区；创建共享项目 P1、P2 与私有项目 PP</x:v>
      </x:c>
      <x:c r="G62" s="10" t="str">
        <x:v>恢复已归档 P2
查询历史资料与报告
继续合法操作</x:v>
      </x:c>
      <x:c r="H62" s="10" t="str">
        <x:v>原 ID 与历史关联保留
恢复后状态正常</x:v>
      </x:c>
      <x:c r="I62" s="10" t="str">
        <x:v>截图或录屏、脱敏请求响应、对象 ID、时间及相关日志</x:v>
      </x:c>
      <x:c r="J62" s="11" t="str">
        <x:v>未执行</x:v>
      </x:c>
      <x:c r="K62" s="11" t="str"/>
      <x:c r="L62" s="11" t="str"/>
      <x:c r="M62" s="11" t="str"/>
      <x:c r="N62" s="12"/>
      <x:c r="O62" s="11" t="str"/>
    </x:row>
    <x:row r="63" ht="39.599998474121094" hidden="0" customHeight="1">
      <x:c r="A63" s="10" t="str">
        <x:v>PRJ-008</x:v>
      </x:c>
      <x:c r="B63" s="10" t="str">
        <x:v>03 配置与项目</x:v>
      </x:c>
      <x:c r="C63" s="10" t="str">
        <x:v>项目管理</x:v>
      </x:c>
      <x:c r="D63" s="10" t="str">
        <x:v>P0</x:v>
      </x:c>
      <x:c r="E63" s="10" t="str">
        <x:v>删除项目</x:v>
      </x:c>
      <x:c r="F63" s="10" t="str">
        <x:v>A 的 QA-A 工作区；创建共享项目 P1、P2 与私有项目 PP</x:v>
      </x:c>
      <x:c r="G63" s="10" t="str">
        <x:v>使用可销毁项目
确认删除
直接访问其资产、运行、报告、附件</x:v>
      </x:c>
      <x:c r="H63" s="10" t="str">
        <x:v>项目不再可访问
关联数据访问被阻断
存储清理策略明确</x:v>
      </x:c>
      <x:c r="I63" s="10" t="str">
        <x:v>截图或录屏、脱敏请求响应、对象 ID、时间及相关日志</x:v>
      </x:c>
      <x:c r="J63" s="11" t="str">
        <x:v>未执行</x:v>
      </x:c>
      <x:c r="K63" s="11" t="str"/>
      <x:c r="L63" s="11" t="str"/>
      <x:c r="M63" s="11" t="str"/>
      <x:c r="N63" s="12"/>
      <x:c r="O63" s="11" t="str"/>
    </x:row>
    <x:row r="64" ht="26.399999618530273" hidden="0" customHeight="1">
      <x:c r="A64" s="10" t="str">
        <x:v>PRJ-009</x:v>
      </x:c>
      <x:c r="B64" s="10" t="str">
        <x:v>03 配置与项目</x:v>
      </x:c>
      <x:c r="C64" s="10" t="str">
        <x:v>项目管理</x:v>
      </x:c>
      <x:c r="D64" s="10" t="str">
        <x:v>P1</x:v>
      </x:c>
      <x:c r="E64" s="10" t="str">
        <x:v>项目入口与上次项目</x:v>
      </x:c>
      <x:c r="F64" s="10" t="str">
        <x:v>A 的 QA-A 工作区；创建共享项目 P1、P2 与私有项目 PP</x:v>
      </x:c>
      <x:c r="G64" s="10" t="str">
        <x:v>由概览、登录、侧栏进入项目
关闭重开</x:v>
      </x:c>
      <x:c r="H64" s="10" t="str">
        <x:v>使用有效项目 ID
不请求 -1 或已删除项目</x:v>
      </x:c>
      <x:c r="I64" s="10" t="str">
        <x:v>截图或录屏、脱敏请求响应、对象 ID、时间及相关日志</x:v>
      </x:c>
      <x:c r="J64" s="11" t="str">
        <x:v>未执行</x:v>
      </x:c>
      <x:c r="K64" s="11" t="str"/>
      <x:c r="L64" s="11" t="str"/>
      <x:c r="M64" s="11" t="str"/>
      <x:c r="N64" s="12"/>
      <x:c r="O64" s="11" t="str"/>
    </x:row>
    <x:row r="65" ht="26.399999618530273" hidden="0" customHeight="1">
      <x:c r="A65" s="10" t="str">
        <x:v>PRJ-010</x:v>
      </x:c>
      <x:c r="B65" s="10" t="str">
        <x:v>03 配置与项目</x:v>
      </x:c>
      <x:c r="C65" s="10" t="str">
        <x:v>项目管理</x:v>
      </x:c>
      <x:c r="D65" s="10" t="str">
        <x:v>P0</x:v>
      </x:c>
      <x:c r="E65" s="10" t="str">
        <x:v>项目快速切换</x:v>
      </x:c>
      <x:c r="F65" s="10" t="str">
        <x:v>A 的 QA-A 工作区；创建共享项目 P1、P2 与私有项目 PP</x:v>
      </x:c>
      <x:c r="G65" s="10" t="str">
        <x:v>P1/P2 快速切换，延迟 P1 请求
观察 P2 数据</x:v>
      </x:c>
      <x:c r="H65" s="10" t="str">
        <x:v>无旧资料、对话、模型、报告串入</x:v>
      </x:c>
      <x:c r="I65" s="10" t="str">
        <x:v>截图或录屏、脱敏请求响应、对象 ID、时间及相关日志</x:v>
      </x:c>
      <x:c r="J65" s="11" t="str">
        <x:v>未执行</x:v>
      </x:c>
      <x:c r="K65" s="11" t="str"/>
      <x:c r="L65" s="11" t="str"/>
      <x:c r="M65" s="11" t="str"/>
      <x:c r="N65" s="12"/>
      <x:c r="O65" s="11" t="str"/>
    </x:row>
    <x:row r="66" ht="39.599998474121094" hidden="0" customHeight="1">
      <x:c r="A66" s="10" t="str">
        <x:v>PRJ-011</x:v>
      </x:c>
      <x:c r="B66" s="10" t="str">
        <x:v>03 配置与项目</x:v>
      </x:c>
      <x:c r="C66" s="10" t="str">
        <x:v>项目管理</x:v>
      </x:c>
      <x:c r="D66" s="10" t="str">
        <x:v>P1</x:v>
      </x:c>
      <x:c r="E66" s="10" t="str">
        <x:v>项目概览指标</x:v>
      </x:c>
      <x:c r="F66" s="10" t="str">
        <x:v>A 的 QA-A 工作区；创建共享项目 P1、P2 与私有项目 PP</x:v>
      </x:c>
      <x:c r="G66" s="10" t="str">
        <x:v>对照数据库/API 的资产、运行状态、报告、行动与评估数量</x:v>
      </x:c>
      <x:c r="H66" s="10" t="str">
        <x:v>真实汇总一致
没有演示数字
无数据不伪造达标</x:v>
      </x:c>
      <x:c r="I66" s="10" t="str">
        <x:v>截图或录屏、脱敏请求响应、对象 ID、时间及相关日志</x:v>
      </x:c>
      <x:c r="J66" s="11" t="str">
        <x:v>未执行</x:v>
      </x:c>
      <x:c r="K66" s="11" t="str"/>
      <x:c r="L66" s="11" t="str"/>
      <x:c r="M66" s="11" t="str"/>
      <x:c r="N66" s="12"/>
      <x:c r="O66" s="11" t="str"/>
    </x:row>
    <x:row r="67" ht="39.599998474121094" hidden="0" customHeight="1">
      <x:c r="A67" s="10" t="str">
        <x:v>PRJ-012</x:v>
      </x:c>
      <x:c r="B67" s="10" t="str">
        <x:v>03 配置与项目</x:v>
      </x:c>
      <x:c r="C67" s="10" t="str">
        <x:v>项目管理</x:v>
      </x:c>
      <x:c r="D67" s="10" t="str">
        <x:v>P1</x:v>
      </x:c>
      <x:c r="E67" s="10" t="str">
        <x:v>概览导出</x:v>
      </x:c>
      <x:c r="F67" s="10" t="str">
        <x:v>A 的 QA-A 工作区；创建共享项目 P1、P2 与私有项目 PP</x:v>
      </x:c>
      <x:c r="G67" s="10" t="str">
        <x:v>导出项目快照与 Token CSV
检查中文、时间、模型及用户列</x:v>
      </x:c>
      <x:c r="H67" s="10" t="str">
        <x:v>文件可打开
内容与项目一致
不得混入其他项目</x:v>
      </x:c>
      <x:c r="I67" s="10" t="str">
        <x:v>截图或录屏、脱敏请求响应、对象 ID、时间及相关日志</x:v>
      </x:c>
      <x:c r="J67" s="11" t="str">
        <x:v>未执行</x:v>
      </x:c>
      <x:c r="K67" s="11" t="str"/>
      <x:c r="L67" s="11" t="str"/>
      <x:c r="M67" s="11" t="str"/>
      <x:c r="N67" s="12"/>
      <x:c r="O67" s="11" t="str"/>
    </x:row>
    <x:row r="68" ht="39.599998474121094" hidden="0" customHeight="1">
      <x:c r="A68" s="10" t="str">
        <x:v>MODEL-001</x:v>
      </x:c>
      <x:c r="B68" s="10" t="str">
        <x:v>03 配置与项目</x:v>
      </x:c>
      <x:c r="C68" s="10" t="str">
        <x:v>模型与 Embedding</x:v>
      </x:c>
      <x:c r="D68" s="10" t="str">
        <x:v>P0</x:v>
      </x:c>
      <x:c r="E68" s="10" t="str">
        <x:v>新建模型连接</x:v>
      </x:c>
      <x:c r="F68" s="10" t="str">
        <x:v>P1；至少一个真实可用 LLM 和生产拟用 Embedding；凭据仅填在配置界面</x:v>
      </x:c>
      <x:c r="G68" s="10" t="str">
        <x:v>填写服务商、端点、模型 ID、认证和凭据
保存</x:v>
      </x:c>
      <x:c r="H68" s="10" t="str">
        <x:v>保存可见
返回仅 hasCredential，不明文回显
可被当前用户选择</x:v>
      </x:c>
      <x:c r="I68" s="10" t="str">
        <x:v>截图或录屏、脱敏请求响应、对象 ID、时间及相关日志</x:v>
      </x:c>
      <x:c r="J68" s="11" t="str">
        <x:v>未执行</x:v>
      </x:c>
      <x:c r="K68" s="11" t="str"/>
      <x:c r="L68" s="11" t="str"/>
      <x:c r="M68" s="11" t="str"/>
      <x:c r="N68" s="12"/>
      <x:c r="O68" s="11" t="str"/>
    </x:row>
    <x:row r="69" ht="39.599998474121094" hidden="0" customHeight="1">
      <x:c r="A69" s="10" t="str">
        <x:v>MODEL-002</x:v>
      </x:c>
      <x:c r="B69" s="10" t="str">
        <x:v>03 配置与项目</x:v>
      </x:c>
      <x:c r="C69" s="10" t="str">
        <x:v>模型与 Embedding</x:v>
      </x:c>
      <x:c r="D69" s="10" t="str">
        <x:v>P1</x:v>
      </x:c>
      <x:c r="E69" s="10" t="str">
        <x:v>编辑和保持凭据</x:v>
      </x:c>
      <x:c r="F69" s="10" t="str">
        <x:v>P1；至少一个真实可用 LLM 和生产拟用 Embedding；凭据仅填在配置界面</x:v>
      </x:c>
      <x:c r="G69" s="10" t="str">
        <x:v>更改名称/模型参数且凭据留空
再主动替换凭据</x:v>
      </x:c>
      <x:c r="H69" s="10" t="str">
        <x:v>留空保留旧凭据
替换后新连接有效
数据库密文</x:v>
      </x:c>
      <x:c r="I69" s="10" t="str">
        <x:v>截图或录屏、脱敏请求响应、对象 ID、时间及相关日志</x:v>
      </x:c>
      <x:c r="J69" s="11" t="str">
        <x:v>未执行</x:v>
      </x:c>
      <x:c r="K69" s="11" t="str"/>
      <x:c r="L69" s="11" t="str"/>
      <x:c r="M69" s="11" t="str"/>
      <x:c r="N69" s="12"/>
      <x:c r="O69" s="11" t="str"/>
    </x:row>
    <x:row r="70" ht="39.599998474121094" hidden="0" customHeight="1">
      <x:c r="A70" s="10" t="str">
        <x:v>MODEL-003</x:v>
      </x:c>
      <x:c r="B70" s="10" t="str">
        <x:v>03 配置与项目</x:v>
      </x:c>
      <x:c r="C70" s="10" t="str">
        <x:v>模型与 Embedding</x:v>
      </x:c>
      <x:c r="D70" s="10" t="str">
        <x:v>P0</x:v>
      </x:c>
      <x:c r="E70" s="10" t="str">
        <x:v>连接正常与错误</x:v>
      </x:c>
      <x:c r="F70" s="10" t="str">
        <x:v>P1；至少一个真实可用 LLM 和生产拟用 Embedding；凭据仅填在配置界面</x:v>
      </x:c>
      <x:c r="G70" s="10" t="str">
        <x:v>依次测试有效模型、错误 key、不可达端点、不存在模型 ID</x:v>
      </x:c>
      <x:c r="H70" s="10" t="str">
        <x:v>成功含真实模型信息
失败有原因
无假成功</x:v>
      </x:c>
      <x:c r="I70" s="10" t="str">
        <x:v>截图或录屏、脱敏请求响应、对象 ID、时间及相关日志</x:v>
      </x:c>
      <x:c r="J70" s="11" t="str">
        <x:v>未执行</x:v>
      </x:c>
      <x:c r="K70" s="11" t="str"/>
      <x:c r="L70" s="11" t="str"/>
      <x:c r="M70" s="11" t="str"/>
      <x:c r="N70" s="12"/>
      <x:c r="O70" s="11" t="str"/>
    </x:row>
    <x:row r="71" ht="39.599998474121094" hidden="0" customHeight="1">
      <x:c r="A71" s="10" t="str">
        <x:v>MODEL-004</x:v>
      </x:c>
      <x:c r="B71" s="10" t="str">
        <x:v>03 配置与项目</x:v>
      </x:c>
      <x:c r="C71" s="10" t="str">
        <x:v>模型与 Embedding</x:v>
      </x:c>
      <x:c r="D71" s="10" t="str">
        <x:v>P1</x:v>
      </x:c>
      <x:c r="E71" s="10" t="str">
        <x:v>默认模型</x:v>
      </x:c>
      <x:c r="F71" s="10" t="str">
        <x:v>P1；至少一个真实可用 LLM 和生产拟用 Embedding；凭据仅填在配置界面</x:v>
      </x:c>
      <x:c r="G71" s="10" t="str">
        <x:v>设置默认模型
新对话/研究不显式选模型
清除默认</x:v>
      </x:c>
      <x:c r="H71" s="10" t="str">
        <x:v>实际调用正确模型
清除后有明确回退或配置提示</x:v>
      </x:c>
      <x:c r="I71" s="10" t="str">
        <x:v>截图或录屏、脱敏请求响应、对象 ID、时间及相关日志</x:v>
      </x:c>
      <x:c r="J71" s="11" t="str">
        <x:v>未执行</x:v>
      </x:c>
      <x:c r="K71" s="11" t="str"/>
      <x:c r="L71" s="11" t="str"/>
      <x:c r="M71" s="11" t="str"/>
      <x:c r="N71" s="12"/>
      <x:c r="O71" s="11" t="str"/>
    </x:row>
    <x:row r="72" ht="39.599998474121094" hidden="0" customHeight="1">
      <x:c r="A72" s="10" t="str">
        <x:v>MODEL-005</x:v>
      </x:c>
      <x:c r="B72" s="10" t="str">
        <x:v>03 配置与项目</x:v>
      </x:c>
      <x:c r="C72" s="10" t="str">
        <x:v>模型与 Embedding</x:v>
      </x:c>
      <x:c r="D72" s="10" t="str">
        <x:v>P1</x:v>
      </x:c>
      <x:c r="E72" s="10" t="str">
        <x:v>禁用与删除</x:v>
      </x:c>
      <x:c r="F72" s="10" t="str">
        <x:v>P1；至少一个真实可用 LLM 和生产拟用 Embedding；凭据仅填在配置界面</x:v>
      </x:c>
      <x:c r="G72" s="10" t="str">
        <x:v>禁用模型后创建请求
删除非默认与默认模型
刷新目录</x:v>
      </x:c>
      <x:c r="H72" s="10" t="str">
        <x:v>禁用/删除项不会继续被新请求使用
在途请求策略明确</x:v>
      </x:c>
      <x:c r="I72" s="10" t="str">
        <x:v>截图或录屏、脱敏请求响应、对象 ID、时间及相关日志</x:v>
      </x:c>
      <x:c r="J72" s="11" t="str">
        <x:v>未执行</x:v>
      </x:c>
      <x:c r="K72" s="11" t="str"/>
      <x:c r="L72" s="11" t="str"/>
      <x:c r="M72" s="11" t="str"/>
      <x:c r="N72" s="12"/>
      <x:c r="O72" s="11" t="str"/>
    </x:row>
    <x:row r="73" ht="26.399999618530273" hidden="0" customHeight="1">
      <x:c r="A73" s="10" t="str">
        <x:v>MODEL-006</x:v>
      </x:c>
      <x:c r="B73" s="10" t="str">
        <x:v>03 配置与项目</x:v>
      </x:c>
      <x:c r="C73" s="10" t="str">
        <x:v>模型与 Embedding</x:v>
      </x:c>
      <x:c r="D73" s="10" t="str">
        <x:v>P1</x:v>
      </x:c>
      <x:c r="E73" s="10" t="str">
        <x:v>模型目录分组</x:v>
      </x:c>
      <x:c r="F73" s="10" t="str">
        <x:v>P1；至少一个真实可用 LLM 和生产拟用 Embedding；凭据仅填在配置界面</x:v>
      </x:c>
      <x:c r="G73" s="10" t="str">
        <x:v>同一连接添加多个模型
从连接添加模型与编辑目录</x:v>
      </x:c>
      <x:c r="H73" s="10" t="str">
        <x:v>端点/凭据复用正确
参数属于选定模型，不互相覆盖</x:v>
      </x:c>
      <x:c r="I73" s="10" t="str">
        <x:v>截图或录屏、脱敏请求响应、对象 ID、时间及相关日志</x:v>
      </x:c>
      <x:c r="J73" s="11" t="str">
        <x:v>未执行</x:v>
      </x:c>
      <x:c r="K73" s="11" t="str"/>
      <x:c r="L73" s="11" t="str"/>
      <x:c r="M73" s="11" t="str"/>
      <x:c r="N73" s="12"/>
      <x:c r="O73" s="11" t="str"/>
    </x:row>
    <x:row r="74" ht="26.399999618530273" hidden="0" customHeight="1">
      <x:c r="A74" s="10" t="str">
        <x:v>MODEL-007</x:v>
      </x:c>
      <x:c r="B74" s="10" t="str">
        <x:v>03 配置与项目</x:v>
      </x:c>
      <x:c r="C74" s="10" t="str">
        <x:v>模型与 Embedding</x:v>
      </x:c>
      <x:c r="D74" s="10" t="str">
        <x:v>P1</x:v>
      </x:c>
      <x:c r="E74" s="10" t="str">
        <x:v>生成参数保存与传递</x:v>
      </x:c>
      <x:c r="F74" s="10" t="str">
        <x:v>P1；至少一个真实可用 LLM 和生产拟用 Embedding；凭据仅填在配置界面</x:v>
      </x:c>
      <x:c r="G74" s="10" t="str">
        <x:v>设置 temperature、topP、topK、maxTokens、惩罚、seed、stop、超时/重试、extraBody
发起请求</x:v>
      </x:c>
      <x:c r="H74" s="10" t="str">
        <x:v>保存回读与实际发给供应商的参数一致
供应商不支持时明确提示</x:v>
      </x:c>
      <x:c r="I74" s="10" t="str">
        <x:v>截图或录屏、脱敏请求响应、对象 ID、时间及相关日志</x:v>
      </x:c>
      <x:c r="J74" s="11" t="str">
        <x:v>未执行</x:v>
      </x:c>
      <x:c r="K74" s="11" t="str"/>
      <x:c r="L74" s="11" t="str"/>
      <x:c r="M74" s="11" t="str"/>
      <x:c r="N74" s="12"/>
      <x:c r="O74" s="11" t="str"/>
    </x:row>
    <x:row r="75" ht="39.599998474121094" hidden="0" customHeight="1">
      <x:c r="A75" s="10" t="str">
        <x:v>MODEL-008</x:v>
      </x:c>
      <x:c r="B75" s="10" t="str">
        <x:v>03 配置与项目</x:v>
      </x:c>
      <x:c r="C75" s="10" t="str">
        <x:v>模型与 Embedding</x:v>
      </x:c>
      <x:c r="D75" s="10" t="str">
        <x:v>P1</x:v>
      </x:c>
      <x:c r="E75" s="10" t="str">
        <x:v>生成参数边界</x:v>
      </x:c>
      <x:c r="F75" s="10" t="str">
        <x:v>P1；至少一个真实可用 LLM 和生产拟用 Embedding；凭据仅填在配置界面</x:v>
      </x:c>
      <x:c r="G75" s="10" t="str">
        <x:v>temperature -0.1/0/2/2.1，topP 0/1/1.1，非法惩罚、负 seed、非法 JSON extraBody</x:v>
      </x:c>
      <x:c r="H75" s="10" t="str">
        <x:v>无效值拒绝
合法边界正常
不由 UI 限制单独兜底</x:v>
      </x:c>
      <x:c r="I75" s="10" t="str">
        <x:v>截图或录屏、脱敏请求响应、对象 ID、时间及相关日志</x:v>
      </x:c>
      <x:c r="J75" s="11" t="str">
        <x:v>未执行</x:v>
      </x:c>
      <x:c r="K75" s="11" t="str"/>
      <x:c r="L75" s="11" t="str"/>
      <x:c r="M75" s="11" t="str"/>
      <x:c r="N75" s="12"/>
      <x:c r="O75" s="11" t="str"/>
    </x:row>
    <x:row r="76" ht="39.599998474121094" hidden="0" customHeight="1">
      <x:c r="A76" s="10" t="str">
        <x:v>MODEL-009</x:v>
      </x:c>
      <x:c r="B76" s="10" t="str">
        <x:v>03 配置与项目</x:v>
      </x:c>
      <x:c r="C76" s="10" t="str">
        <x:v>模型与 Embedding</x:v>
      </x:c>
      <x:c r="D76" s="10" t="str">
        <x:v>P1</x:v>
      </x:c>
      <x:c r="E76" s="10" t="str">
        <x:v>上下文窗口查询</x:v>
      </x:c>
      <x:c r="F76" s="10" t="str">
        <x:v>P1；至少一个真实可用 LLM 和生产拟用 Embedding；凭据仅填在配置界面</x:v>
      </x:c>
      <x:c r="G76" s="10" t="str">
        <x:v>从服务目录查询存在/不存在上下文元数据的模型</x:v>
      </x:c>
      <x:c r="H76" s="10" t="str">
        <x:v>有来源时准确填写
无来源时标明不可用并可手动输入
不猜数</x:v>
      </x:c>
      <x:c r="I76" s="10" t="str">
        <x:v>截图或录屏、脱敏请求响应、对象 ID、时间及相关日志</x:v>
      </x:c>
      <x:c r="J76" s="11" t="str">
        <x:v>未执行</x:v>
      </x:c>
      <x:c r="K76" s="11" t="str"/>
      <x:c r="L76" s="11" t="str"/>
      <x:c r="M76" s="11" t="str"/>
      <x:c r="N76" s="12"/>
      <x:c r="O76" s="11" t="str"/>
    </x:row>
    <x:row r="77" ht="26.399999618530273" hidden="0" customHeight="1">
      <x:c r="A77" s="10" t="str">
        <x:v>MODEL-010</x:v>
      </x:c>
      <x:c r="B77" s="10" t="str">
        <x:v>03 配置与项目</x:v>
      </x:c>
      <x:c r="C77" s="10" t="str">
        <x:v>模型与 Embedding</x:v>
      </x:c>
      <x:c r="D77" s="10" t="str">
        <x:v>P1</x:v>
      </x:c>
      <x:c r="E77" s="10" t="str">
        <x:v>长上下文与输出截断</x:v>
      </x:c>
      <x:c r="F77" s="10" t="str">
        <x:v>P1；至少一个真实可用 LLM 和生产拟用 Embedding；凭据仅填在配置界面</x:v>
      </x:c>
      <x:c r="G77" s="10" t="str">
        <x:v>发送接近与超过上下文窗口的内容
设较小 maxTokens</x:v>
      </x:c>
      <x:c r="H77" s="10" t="str">
        <x:v>有可解释压缩/拒绝/截断
结构损坏不误标已完成</x:v>
      </x:c>
      <x:c r="I77" s="10" t="str">
        <x:v>截图或录屏、脱敏请求响应、对象 ID、时间及相关日志</x:v>
      </x:c>
      <x:c r="J77" s="11" t="str">
        <x:v>未执行</x:v>
      </x:c>
      <x:c r="K77" s="11" t="str"/>
      <x:c r="L77" s="11" t="str"/>
      <x:c r="M77" s="11" t="str"/>
      <x:c r="N77" s="12"/>
      <x:c r="O77" s="11" t="str"/>
    </x:row>
    <x:row r="78" ht="26.399999618530273" hidden="0" customHeight="1">
      <x:c r="A78" s="10" t="str">
        <x:v>MODEL-011</x:v>
      </x:c>
      <x:c r="B78" s="10" t="str">
        <x:v>03 配置与项目</x:v>
      </x:c>
      <x:c r="C78" s="10" t="str">
        <x:v>模型与 Embedding</x:v>
      </x:c>
      <x:c r="D78" s="10" t="str">
        <x:v>P1</x:v>
      </x:c>
      <x:c r="E78" s="10" t="str">
        <x:v>结构化输出三种模式</x:v>
      </x:c>
      <x:c r="F78" s="10" t="str">
        <x:v>P1；至少一个真实可用 LLM 和生产拟用 Embedding；凭据仅填在配置界面</x:v>
      </x:c>
      <x:c r="G78" s="10" t="str">
        <x:v>分别用支持的供应商测试 json_schema、function_calling、json_mode</x:v>
      </x:c>
      <x:c r="H78" s="10" t="str">
        <x:v>输出按 Schema 校验
不支持时可配置降级并显示错误</x:v>
      </x:c>
      <x:c r="I78" s="10" t="str">
        <x:v>截图或录屏、脱敏请求响应、对象 ID、时间及相关日志</x:v>
      </x:c>
      <x:c r="J78" s="11" t="str">
        <x:v>未执行</x:v>
      </x:c>
      <x:c r="K78" s="11" t="str"/>
      <x:c r="L78" s="11" t="str"/>
      <x:c r="M78" s="11" t="str"/>
      <x:c r="N78" s="12"/>
      <x:c r="O78" s="11" t="str"/>
    </x:row>
    <x:row r="79" ht="26.399999618530273" hidden="0" customHeight="1">
      <x:c r="A79" s="10" t="str">
        <x:v>MODEL-012</x:v>
      </x:c>
      <x:c r="B79" s="10" t="str">
        <x:v>03 配置与项目</x:v>
      </x:c>
      <x:c r="C79" s="10" t="str">
        <x:v>模型与 Embedding</x:v>
      </x:c>
      <x:c r="D79" s="10" t="str">
        <x:v>P0</x:v>
      </x:c>
      <x:c r="E79" s="10" t="str">
        <x:v>模型个人与共享边界</x:v>
      </x:c>
      <x:c r="F79" s="10" t="str">
        <x:v>P1；至少一个真实可用 LLM 和生产拟用 Embedding；凭据仅填在配置界面</x:v>
      </x:c>
      <x:c r="G79" s="10" t="str">
        <x:v>A/B 保存各自模型
检查目录、默认解析与显式 modelConfigId</x:v>
      </x:c>
      <x:c r="H79" s="10" t="str">
        <x:v>只可用合法可见配置
不能调用他人个人密钥</x:v>
      </x:c>
      <x:c r="I79" s="10" t="str">
        <x:v>截图或录屏、脱敏请求响应、对象 ID、时间及相关日志</x:v>
      </x:c>
      <x:c r="J79" s="11" t="str">
        <x:v>未执行</x:v>
      </x:c>
      <x:c r="K79" s="11" t="str"/>
      <x:c r="L79" s="11" t="str"/>
      <x:c r="M79" s="11" t="str"/>
      <x:c r="N79" s="12"/>
      <x:c r="O79" s="11" t="str"/>
    </x:row>
    <x:row r="80" ht="26.399999618530273" hidden="0" customHeight="1">
      <x:c r="A80" s="10" t="str">
        <x:v>MODEL-013</x:v>
      </x:c>
      <x:c r="B80" s="10" t="str">
        <x:v>03 配置与项目</x:v>
      </x:c>
      <x:c r="C80" s="10" t="str">
        <x:v>模型与 Embedding</x:v>
      </x:c>
      <x:c r="D80" s="10" t="str">
        <x:v>P1</x:v>
      </x:c>
      <x:c r="E80" s="10" t="str">
        <x:v>项目创建者配置优先级</x:v>
      </x:c>
      <x:c r="F80" s="10" t="str">
        <x:v>P1；至少一个真实可用 LLM 和生产拟用 Embedding；凭据仅填在配置界面</x:v>
      </x:c>
      <x:c r="G80" s="10" t="str">
        <x:v>项目创建者与当前操作者有不同模型
不选和显式选模型分别运行</x:v>
      </x:c>
      <x:c r="H80" s="10" t="str">
        <x:v>选择可追溯
与 RuntimeConfigResolver 优先级一致</x:v>
      </x:c>
      <x:c r="I80" s="10" t="str">
        <x:v>截图或录屏、脱敏请求响应、对象 ID、时间及相关日志</x:v>
      </x:c>
      <x:c r="J80" s="11" t="str">
        <x:v>未执行</x:v>
      </x:c>
      <x:c r="K80" s="11" t="str"/>
      <x:c r="L80" s="11" t="str"/>
      <x:c r="M80" s="11" t="str"/>
      <x:c r="N80" s="12"/>
      <x:c r="O80" s="11" t="str"/>
    </x:row>
    <x:row r="81" ht="39.599998474121094" hidden="0" customHeight="1">
      <x:c r="A81" s="10" t="str">
        <x:v>MODEL-014</x:v>
      </x:c>
      <x:c r="B81" s="10" t="str">
        <x:v>03 配置与项目</x:v>
      </x:c>
      <x:c r="C81" s="10" t="str">
        <x:v>模型与 Embedding</x:v>
      </x:c>
      <x:c r="D81" s="10" t="str">
        <x:v>P0</x:v>
      </x:c>
      <x:c r="E81" s="10" t="str">
        <x:v>真实 Embedding</x:v>
      </x:c>
      <x:c r="F81" s="10" t="str">
        <x:v>P1；至少一个真实可用 LLM 和生产拟用 Embedding；凭据仅填在配置界面</x:v>
      </x:c>
      <x:c r="G81" s="10" t="str">
        <x:v>保存生产 Embedding 配置并测试
上传索引后用语义改写问题检索</x:v>
      </x:c>
      <x:c r="H81" s="10" t="str">
        <x:v>真实向量可生成
维度正确
语义召回有证据</x:v>
      </x:c>
      <x:c r="I81" s="10" t="str">
        <x:v>截图或录屏、脱敏请求响应、对象 ID、时间及相关日志</x:v>
      </x:c>
      <x:c r="J81" s="11" t="str">
        <x:v>未执行</x:v>
      </x:c>
      <x:c r="K81" s="11" t="str"/>
      <x:c r="L81" s="11" t="str"/>
      <x:c r="M81" s="11" t="str"/>
      <x:c r="N81" s="12"/>
      <x:c r="O81" s="11" t="str"/>
    </x:row>
    <x:row r="82" ht="39.599998474121094" hidden="0" customHeight="1">
      <x:c r="A82" s="10" t="str">
        <x:v>MODEL-015</x:v>
      </x:c>
      <x:c r="B82" s="10" t="str">
        <x:v>03 配置与项目</x:v>
      </x:c>
      <x:c r="C82" s="10" t="str">
        <x:v>模型与 Embedding</x:v>
      </x:c>
      <x:c r="D82" s="10" t="str">
        <x:v>P0</x:v>
      </x:c>
      <x:c r="E82" s="10" t="str">
        <x:v>Embedding 错误与维度变更</x:v>
      </x:c>
      <x:c r="F82" s="10" t="str">
        <x:v>P1；至少一个真实可用 LLM 和生产拟用 Embedding；凭据仅填在配置界面</x:v>
      </x:c>
      <x:c r="G82" s="10" t="str">
        <x:v>错误 key/模型/维度
切换维度后重新索引测试资料</x:v>
      </x:c>
      <x:c r="H82" s="10" t="str">
        <x:v>失败可见
不混用旧维度/旧向量
迁移策略明确</x:v>
      </x:c>
      <x:c r="I82" s="10" t="str">
        <x:v>截图或录屏、脱敏请求响应、对象 ID、时间及相关日志</x:v>
      </x:c>
      <x:c r="J82" s="11" t="str">
        <x:v>未执行</x:v>
      </x:c>
      <x:c r="K82" s="11" t="str"/>
      <x:c r="L82" s="11" t="str"/>
      <x:c r="M82" s="11" t="str"/>
      <x:c r="N82" s="12"/>
      <x:c r="O82" s="11" t="str"/>
    </x:row>
    <x:row r="83" ht="39.599998474121094" hidden="0" customHeight="1">
      <x:c r="A83" s="10" t="str">
        <x:v>MODEL-016</x:v>
      </x:c>
      <x:c r="B83" s="10" t="str">
        <x:v>03 配置与项目</x:v>
      </x:c>
      <x:c r="C83" s="10" t="str">
        <x:v>模型与 Embedding</x:v>
      </x:c>
      <x:c r="D83" s="10" t="str">
        <x:v>P1</x:v>
      </x:c>
      <x:c r="E83" s="10" t="str">
        <x:v>本地 hash 回退</x:v>
      </x:c>
      <x:c r="F83" s="10" t="str">
        <x:v>P1；至少一个真实可用 LLM 和生产拟用 Embedding；凭据仅填在配置界面</x:v>
      </x:c>
      <x:c r="G83" s="10" t="str">
        <x:v>选本地向量化
重复同一文本
再换真实 Embedding</x:v>
      </x:c>
      <x:c r="H83" s="10" t="str">
        <x:v>回退明确标识
流程可跑
上线质量验收只在拟用真实配置判定</x:v>
      </x:c>
      <x:c r="I83" s="10" t="str">
        <x:v>截图或录屏、脱敏请求响应、对象 ID、时间及相关日志</x:v>
      </x:c>
      <x:c r="J83" s="11" t="str">
        <x:v>未执行</x:v>
      </x:c>
      <x:c r="K83" s="11" t="str"/>
      <x:c r="L83" s="11" t="str"/>
      <x:c r="M83" s="11" t="str"/>
      <x:c r="N83" s="12"/>
      <x:c r="O83" s="11" t="str"/>
    </x:row>
    <x:row r="84" ht="39.599998474121094" hidden="0" customHeight="1">
      <x:c r="A84" s="10" t="str">
        <x:v>TOOL-001</x:v>
      </x:c>
      <x:c r="B84" s="10" t="str">
        <x:v>03 配置与项目</x:v>
      </x:c>
      <x:c r="C84" s="10" t="str">
        <x:v>工具、连接器与权限策略</x:v>
      </x:c>
      <x:c r="D84" s="10" t="str">
        <x:v>P1</x:v>
      </x:c>
      <x:c r="E84" s="10" t="str">
        <x:v>连接器新增与编辑</x:v>
      </x:c>
      <x:c r="F84" s="10" t="str">
        <x:v>P1；隔离的只读与写入测试工具；不要使用真实业务外部系统</x:v>
      </x:c>
      <x:c r="G84" s="10" t="str">
        <x:v>新增 REST/WEB_SEARCH 等界面可选连接器
编辑端点、认证、scope、操作权限</x:v>
      </x:c>
      <x:c r="H84" s="10" t="str">
        <x:v>保存回读准确
凭据不回显
配置有验证</x:v>
      </x:c>
      <x:c r="I84" s="10" t="str">
        <x:v>截图或录屏、脱敏请求响应、对象 ID、时间及相关日志</x:v>
      </x:c>
      <x:c r="J84" s="11" t="str">
        <x:v>未执行</x:v>
      </x:c>
      <x:c r="K84" s="11" t="str"/>
      <x:c r="L84" s="11" t="str"/>
      <x:c r="M84" s="11" t="str"/>
      <x:c r="N84" s="12"/>
      <x:c r="O84" s="11" t="str"/>
    </x:row>
    <x:row r="85" ht="26.399999618530273" hidden="0" customHeight="1">
      <x:c r="A85" s="10" t="str">
        <x:v>TOOL-002</x:v>
      </x:c>
      <x:c r="B85" s="10" t="str">
        <x:v>03 配置与项目</x:v>
      </x:c>
      <x:c r="C85" s="10" t="str">
        <x:v>工具、连接器与权限策略</x:v>
      </x:c>
      <x:c r="D85" s="10" t="str">
        <x:v>P1</x:v>
      </x:c>
      <x:c r="E85" s="10" t="str">
        <x:v>连接器启停与删除</x:v>
      </x:c>
      <x:c r="F85" s="10" t="str">
        <x:v>P1；隔离的只读与写入测试工具；不要使用真实业务外部系统</x:v>
      </x:c>
      <x:c r="G85" s="10" t="str">
        <x:v>关闭、重新连接、删除
随后实际发起需要该工具的任务</x:v>
      </x:c>
      <x:c r="H85" s="10" t="str">
        <x:v>禁用/删除工具不会执行
 UI 计数与运行行为一致</x:v>
      </x:c>
      <x:c r="I85" s="10" t="str">
        <x:v>截图或录屏、脱敏请求响应、对象 ID、时间及相关日志</x:v>
      </x:c>
      <x:c r="J85" s="11" t="str">
        <x:v>未执行</x:v>
      </x:c>
      <x:c r="K85" s="11" t="str"/>
      <x:c r="L85" s="11" t="str"/>
      <x:c r="M85" s="11" t="str"/>
      <x:c r="N85" s="12"/>
      <x:c r="O85" s="11" t="str"/>
    </x:row>
    <x:row r="86" ht="26.399999618530273" hidden="0" customHeight="1">
      <x:c r="A86" s="10" t="str">
        <x:v>TOOL-003</x:v>
      </x:c>
      <x:c r="B86" s="10" t="str">
        <x:v>03 配置与项目</x:v>
      </x:c>
      <x:c r="C86" s="10" t="str">
        <x:v>工具、连接器与权限策略</x:v>
      </x:c>
      <x:c r="D86" s="10" t="str">
        <x:v>P0</x:v>
      </x:c>
      <x:c r="E86" s="10" t="str">
        <x:v>连接器个人与团队</x:v>
      </x:c>
      <x:c r="F86" s="10" t="str">
        <x:v>P1；隔离的只读与写入测试工具；不要使用真实业务外部系统</x:v>
      </x:c>
      <x:c r="G86" s="10" t="str">
        <x:v>A 创建 PERSONAL 与 TEAM
B/C 查看和使用</x:v>
      </x:c>
      <x:c r="H86" s="10" t="str">
        <x:v>权限边界符合范围
无个人凭据泄露或非法修改</x:v>
      </x:c>
      <x:c r="I86" s="10" t="str">
        <x:v>截图或录屏、脱敏请求响应、对象 ID、时间及相关日志</x:v>
      </x:c>
      <x:c r="J86" s="11" t="str">
        <x:v>未执行</x:v>
      </x:c>
      <x:c r="K86" s="11" t="str"/>
      <x:c r="L86" s="11" t="str"/>
      <x:c r="M86" s="11" t="str"/>
      <x:c r="N86" s="12"/>
      <x:c r="O86" s="11" t="str"/>
    </x:row>
    <x:row r="87" ht="26.399999618530273" hidden="0" customHeight="1">
      <x:c r="A87" s="10" t="str">
        <x:v>TOOL-004</x:v>
      </x:c>
      <x:c r="B87" s="10" t="str">
        <x:v>03 配置与项目</x:v>
      </x:c>
      <x:c r="C87" s="10" t="str">
        <x:v>工具、连接器与权限策略</x:v>
      </x:c>
      <x:c r="D87" s="10" t="str">
        <x:v>P0</x:v>
      </x:c>
      <x:c r="E87" s="10" t="str">
        <x:v>Agent 自主模式</x:v>
      </x:c>
      <x:c r="F87" s="10" t="str">
        <x:v>P1；隔离的只读与写入测试工具；不要使用真实业务外部系统</x:v>
      </x:c>
      <x:c r="G87" s="10" t="str">
        <x:v>分别保存受控、自主、仅建议不执行
运行含写操作的同一目标</x:v>
      </x:c>
      <x:c r="H87" s="10" t="str">
        <x:v>实际执行权限随策略变化
仅建议不发生外部写入</x:v>
      </x:c>
      <x:c r="I87" s="10" t="str">
        <x:v>截图或录屏、脱敏请求响应、对象 ID、时间及相关日志</x:v>
      </x:c>
      <x:c r="J87" s="11" t="str">
        <x:v>未执行</x:v>
      </x:c>
      <x:c r="K87" s="11" t="str"/>
      <x:c r="L87" s="11" t="str"/>
      <x:c r="M87" s="11" t="str"/>
      <x:c r="N87" s="12"/>
      <x:c r="O87" s="11" t="str"/>
    </x:row>
    <x:row r="88" ht="26.399999618530273" hidden="0" customHeight="1">
      <x:c r="A88" s="10" t="str">
        <x:v>TOOL-005</x:v>
      </x:c>
      <x:c r="B88" s="10" t="str">
        <x:v>03 配置与项目</x:v>
      </x:c>
      <x:c r="C88" s="10" t="str">
        <x:v>工具、连接器与权限策略</x:v>
      </x:c>
      <x:c r="D88" s="10" t="str">
        <x:v>P0</x:v>
      </x:c>
      <x:c r="E88" s="10" t="str">
        <x:v>审批策略</x:v>
      </x:c>
      <x:c r="F88" s="10" t="str">
        <x:v>P1；隔离的只读与写入测试工具；不要使用真实业务外部系统</x:v>
      </x:c>
      <x:c r="G88" s="10" t="str">
        <x:v>打开/关闭 requireApproval
分别确认或未确认写调用</x:v>
      </x:c>
      <x:c r="H88" s="10" t="str">
        <x:v>未获所需确认时禁止写入
确认绑定当前任务和工具</x:v>
      </x:c>
      <x:c r="I88" s="10" t="str">
        <x:v>截图或录屏、脱敏请求响应、对象 ID、时间及相关日志</x:v>
      </x:c>
      <x:c r="J88" s="11" t="str">
        <x:v>未执行</x:v>
      </x:c>
      <x:c r="K88" s="11" t="str"/>
      <x:c r="L88" s="11" t="str"/>
      <x:c r="M88" s="11" t="str"/>
      <x:c r="N88" s="12"/>
      <x:c r="O88" s="11" t="str"/>
    </x:row>
    <x:row r="89" ht="26.399999618530273" hidden="0" customHeight="1">
      <x:c r="A89" s="10" t="str">
        <x:v>TOOL-006</x:v>
      </x:c>
      <x:c r="B89" s="10" t="str">
        <x:v>03 配置与项目</x:v>
      </x:c>
      <x:c r="C89" s="10" t="str">
        <x:v>工具、连接器与权限策略</x:v>
      </x:c>
      <x:c r="D89" s="10" t="str">
        <x:v>P0</x:v>
      </x:c>
      <x:c r="E89" s="10" t="str">
        <x:v>调用预算</x:v>
      </x:c>
      <x:c r="F89" s="10" t="str">
        <x:v>P1；隔离的只读与写入测试工具；不要使用真实业务外部系统</x:v>
      </x:c>
      <x:c r="G89" s="10" t="str">
        <x:v>设置 maxCalls=1 与正常值
制造多次工具需求</x:v>
      </x:c>
      <x:c r="H89" s="10" t="str">
        <x:v>超过预算停止或返回明确错误
没有无限调用</x:v>
      </x:c>
      <x:c r="I89" s="10" t="str">
        <x:v>截图或录屏、脱敏请求响应、对象 ID、时间及相关日志</x:v>
      </x:c>
      <x:c r="J89" s="11" t="str">
        <x:v>未执行</x:v>
      </x:c>
      <x:c r="K89" s="11" t="str"/>
      <x:c r="L89" s="11" t="str"/>
      <x:c r="M89" s="11" t="str"/>
      <x:c r="N89" s="12"/>
      <x:c r="O89" s="11" t="str"/>
    </x:row>
    <x:row r="90" ht="39.599998474121094" hidden="0" customHeight="1">
      <x:c r="A90" s="10" t="str">
        <x:v>TOOL-007</x:v>
      </x:c>
      <x:c r="B90" s="10" t="str">
        <x:v>03 配置与项目</x:v>
      </x:c>
      <x:c r="C90" s="10" t="str">
        <x:v>工具、连接器与权限策略</x:v>
      </x:c>
      <x:c r="D90" s="10" t="str">
        <x:v>P1</x:v>
      </x:c>
      <x:c r="E90" s="10" t="str">
        <x:v>失败策略</x:v>
      </x:c>
      <x:c r="F90" s="10" t="str">
        <x:v>P1；隔离的只读与写入测试工具；不要使用真实业务外部系统</x:v>
      </x:c>
      <x:c r="G90" s="10" t="str">
        <x:v>逐个验证暂停并请求确认、自动重试后暂停、降级只读</x:v>
      </x:c>
      <x:c r="H90" s="10" t="str">
        <x:v>实际失败路径与配置一致
重试次数有限
降级不继续写</x:v>
      </x:c>
      <x:c r="I90" s="10" t="str">
        <x:v>截图或录屏、脱敏请求响应、对象 ID、时间及相关日志</x:v>
      </x:c>
      <x:c r="J90" s="11" t="str">
        <x:v>未执行</x:v>
      </x:c>
      <x:c r="K90" s="11" t="str"/>
      <x:c r="L90" s="11" t="str"/>
      <x:c r="M90" s="11" t="str"/>
      <x:c r="N90" s="12"/>
      <x:c r="O90" s="11" t="str"/>
    </x:row>
    <x:row r="91" ht="26.399999618530273" hidden="0" customHeight="1">
      <x:c r="A91" s="10" t="str">
        <x:v>TOOL-008</x:v>
      </x:c>
      <x:c r="B91" s="10" t="str">
        <x:v>03 配置与项目</x:v>
      </x:c>
      <x:c r="C91" s="10" t="str">
        <x:v>工具、连接器与权限策略</x:v>
      </x:c>
      <x:c r="D91" s="10" t="str">
        <x:v>P1</x:v>
      </x:c>
      <x:c r="E91" s="10" t="str">
        <x:v>本地工具清单</x:v>
      </x:c>
      <x:c r="F91" s="10" t="str">
        <x:v>P1；隔离的只读与写入测试工具；不要使用真实业务外部系统</x:v>
      </x:c>
      <x:c r="G91" s="10" t="str">
        <x:v>查看 builtin/custom/mcp 来源、版本、Schema、权限、超时、并发与确认标识</x:v>
      </x:c>
      <x:c r="H91" s="10" t="str">
        <x:v>清单对应真实注册工具
状态不是静态演示</x:v>
      </x:c>
      <x:c r="I91" s="10" t="str">
        <x:v>截图或录屏、脱敏请求响应、对象 ID、时间及相关日志</x:v>
      </x:c>
      <x:c r="J91" s="11" t="str">
        <x:v>未执行</x:v>
      </x:c>
      <x:c r="K91" s="11" t="str"/>
      <x:c r="L91" s="11" t="str"/>
      <x:c r="M91" s="11" t="str"/>
      <x:c r="N91" s="12"/>
      <x:c r="O91" s="11" t="str"/>
    </x:row>
    <x:row r="92" ht="26.399999618530273" hidden="0" customHeight="1">
      <x:c r="A92" s="10" t="str">
        <x:v>TOOL-009</x:v>
      </x:c>
      <x:c r="B92" s="10" t="str">
        <x:v>03 配置与项目</x:v>
      </x:c>
      <x:c r="C92" s="10" t="str">
        <x:v>工具、连接器与权限策略</x:v>
      </x:c>
      <x:c r="D92" s="10" t="str">
        <x:v>P1</x:v>
      </x:c>
      <x:c r="E92" s="10" t="str">
        <x:v>本地工具禁用</x:v>
      </x:c>
      <x:c r="F92" s="10" t="str">
        <x:v>P1；隔离的只读与写入测试工具；不要使用真实业务外部系统</x:v>
      </x:c>
      <x:c r="G92" s="10" t="str">
        <x:v>禁用 search_knowledge 等工具并保存
发起需要它的请求</x:v>
      </x:c>
      <x:c r="H92" s="10" t="str">
        <x:v>disabledTools 传递并有效
重新启用恢复调用</x:v>
      </x:c>
      <x:c r="I92" s="10" t="str">
        <x:v>截图或录屏、脱敏请求响应、对象 ID、时间及相关日志</x:v>
      </x:c>
      <x:c r="J92" s="11" t="str">
        <x:v>未执行</x:v>
      </x:c>
      <x:c r="K92" s="11" t="str"/>
      <x:c r="L92" s="11" t="str"/>
      <x:c r="M92" s="11" t="str"/>
      <x:c r="N92" s="12"/>
      <x:c r="O92" s="11" t="str"/>
    </x:row>
    <x:row r="93" ht="39.599998474121094" hidden="0" customHeight="1">
      <x:c r="A93" s="10" t="str">
        <x:v>TOOL-010</x:v>
      </x:c>
      <x:c r="B93" s="10" t="str">
        <x:v>03 配置与项目</x:v>
      </x:c>
      <x:c r="C93" s="10" t="str">
        <x:v>工具、连接器与权限策略</x:v>
      </x:c>
      <x:c r="D93" s="10" t="str">
        <x:v>P1</x:v>
      </x:c>
      <x:c r="E93" s="10" t="str">
        <x:v>自定义工具加载与重载</x:v>
      </x:c>
      <x:c r="F93" s="10" t="str">
        <x:v>P1；隔离的只读与写入测试工具；不要使用真实业务外部系统</x:v>
      </x:c>
      <x:c r="G93" s="10" t="str">
        <x:v>在隔离沙箱放入一个受信任只读和一个写入样例
重载
改版本再重载</x:v>
      </x:c>
      <x:c r="H93" s="10" t="str">
        <x:v>加载正常
不存在 HTTP 任意代码上传执行入口
版本变化可见</x:v>
      </x:c>
      <x:c r="I93" s="10" t="str">
        <x:v>截图或录屏、脱敏请求响应、对象 ID、时间及相关日志</x:v>
      </x:c>
      <x:c r="J93" s="11" t="str">
        <x:v>未执行</x:v>
      </x:c>
      <x:c r="K93" s="11" t="str"/>
      <x:c r="L93" s="11" t="str"/>
      <x:c r="M93" s="11" t="str"/>
      <x:c r="N93" s="12"/>
      <x:c r="O93" s="11" t="str"/>
    </x:row>
    <x:row r="94" ht="39.599998474121094" hidden="0" customHeight="1">
      <x:c r="A94" s="10" t="str">
        <x:v>TOOL-011</x:v>
      </x:c>
      <x:c r="B94" s="10" t="str">
        <x:v>03 配置与项目</x:v>
      </x:c>
      <x:c r="C94" s="10" t="str">
        <x:v>工具、连接器与权限策略</x:v>
      </x:c>
      <x:c r="D94" s="10" t="str">
        <x:v>P1</x:v>
      </x:c>
      <x:c r="E94" s="10" t="str">
        <x:v>自定义工具错误</x:v>
      </x:c>
      <x:c r="F94" s="10" t="str">
        <x:v>P1；隔离的只读与写入测试工具；不要使用真实业务外部系统</x:v>
      </x:c>
      <x:c r="G94" s="10" t="str">
        <x:v>放入错误声明、冲突名称、加载异常、非法模块路径的测试工具</x:v>
      </x:c>
      <x:c r="H94" s="10" t="str">
        <x:v>报告具体错误
不污染已注册工具
不加载目录外代码</x:v>
      </x:c>
      <x:c r="I94" s="10" t="str">
        <x:v>截图或录屏、脱敏请求响应、对象 ID、时间及相关日志</x:v>
      </x:c>
      <x:c r="J94" s="11" t="str">
        <x:v>未执行</x:v>
      </x:c>
      <x:c r="K94" s="11" t="str"/>
      <x:c r="L94" s="11" t="str"/>
      <x:c r="M94" s="11" t="str"/>
      <x:c r="N94" s="12"/>
      <x:c r="O94" s="11" t="str"/>
    </x:row>
    <x:row r="95" ht="39.599998474121094" hidden="0" customHeight="1">
      <x:c r="A95" s="10" t="str">
        <x:v>TOOL-012</x:v>
      </x:c>
      <x:c r="B95" s="10" t="str">
        <x:v>03 配置与项目</x:v>
      </x:c>
      <x:c r="C95" s="10" t="str">
        <x:v>工具、连接器与权限策略</x:v>
      </x:c>
      <x:c r="D95" s="10" t="str">
        <x:v>P1</x:v>
      </x:c>
      <x:c r="E95" s="10" t="str">
        <x:v>工具输入验证</x:v>
      </x:c>
      <x:c r="F95" s="10" t="str">
        <x:v>P1；隔离的只读与写入测试工具；不要使用真实业务外部系统</x:v>
      </x:c>
      <x:c r="G95" s="10" t="str">
        <x:v>调用必填项缺失、错误类型、未注册工具及合法参数</x:v>
      </x:c>
      <x:c r="H95" s="10" t="str">
        <x:v>无效调用被拒绝
不会执行副作用
错误可追踪</x:v>
      </x:c>
      <x:c r="I95" s="10" t="str">
        <x:v>截图或录屏、脱敏请求响应、对象 ID、时间及相关日志</x:v>
      </x:c>
      <x:c r="J95" s="11" t="str">
        <x:v>未执行</x:v>
      </x:c>
      <x:c r="K95" s="11" t="str"/>
      <x:c r="L95" s="11" t="str"/>
      <x:c r="M95" s="11" t="str"/>
      <x:c r="N95" s="12"/>
      <x:c r="O95" s="11" t="str"/>
    </x:row>
    <x:row r="96" ht="52.79999923706055" hidden="0" customHeight="1">
      <x:c r="A96" s="10" t="str">
        <x:v>TOOL-013</x:v>
      </x:c>
      <x:c r="B96" s="10" t="str">
        <x:v>03 配置与项目</x:v>
      </x:c>
      <x:c r="C96" s="10" t="str">
        <x:v>工具、连接器与权限策略</x:v>
      </x:c>
      <x:c r="D96" s="10" t="str">
        <x:v>P1</x:v>
      </x:c>
      <x:c r="E96" s="10" t="str">
        <x:v>异步调用全生命周期</x:v>
      </x:c>
      <x:c r="F96" s="10" t="str">
        <x:v>P1；隔离的只读与写入测试工具；不要使用真实业务外部系统</x:v>
      </x:c>
      <x:c r="G96" s="10" t="str">
        <x:v>提交调用
按 callId 查询
完成后重查
取消慢调用</x:v>
      </x:c>
      <x:c r="H96" s="10" t="str">
        <x:v>接受、运行、成功/失败/取消状态正确
结果与调用关联</x:v>
      </x:c>
      <x:c r="I96" s="10" t="str">
        <x:v>截图或录屏、脱敏请求响应、对象 ID、时间及相关日志</x:v>
      </x:c>
      <x:c r="J96" s="11" t="str">
        <x:v>未执行</x:v>
      </x:c>
      <x:c r="K96" s="11" t="str"/>
      <x:c r="L96" s="11" t="str"/>
      <x:c r="M96" s="11" t="str"/>
      <x:c r="N96" s="12"/>
      <x:c r="O96" s="11" t="str"/>
    </x:row>
    <x:row r="97" ht="39.599998474121094" hidden="0" customHeight="1">
      <x:c r="A97" s="10" t="str">
        <x:v>TOOL-014</x:v>
      </x:c>
      <x:c r="B97" s="10" t="str">
        <x:v>03 配置与项目</x:v>
      </x:c>
      <x:c r="C97" s="10" t="str">
        <x:v>工具、连接器与权限策略</x:v>
      </x:c>
      <x:c r="D97" s="10" t="str">
        <x:v>P1</x:v>
      </x:c>
      <x:c r="E97" s="10" t="str">
        <x:v>工具链依赖</x:v>
      </x:c>
      <x:c r="F97" s="10" t="str">
        <x:v>P1；隔离的只读与写入测试工具；不要使用真实业务外部系统</x:v>
      </x:c>
      <x:c r="G97" s="10" t="str">
        <x:v>提交两个独立步骤和一个 dependsOn 步骤
用 $from/模板引用前步结果</x:v>
      </x:c>
      <x:c r="H97" s="10" t="str">
        <x:v>独立步骤可并行
依赖顺序和变量解析正确
不执行字符串代码</x:v>
      </x:c>
      <x:c r="I97" s="10" t="str">
        <x:v>截图或录屏、脱敏请求响应、对象 ID、时间及相关日志</x:v>
      </x:c>
      <x:c r="J97" s="11" t="str">
        <x:v>未执行</x:v>
      </x:c>
      <x:c r="K97" s="11" t="str"/>
      <x:c r="L97" s="11" t="str"/>
      <x:c r="M97" s="11" t="str"/>
      <x:c r="N97" s="12"/>
      <x:c r="O97" s="11" t="str"/>
    </x:row>
    <x:row r="98" ht="39.599998474121094" hidden="0" customHeight="1">
      <x:c r="A98" s="10" t="str">
        <x:v>TOOL-015</x:v>
      </x:c>
      <x:c r="B98" s="10" t="str">
        <x:v>03 配置与项目</x:v>
      </x:c>
      <x:c r="C98" s="10" t="str">
        <x:v>工具、连接器与权限策略</x:v>
      </x:c>
      <x:c r="D98" s="10" t="str">
        <x:v>P1</x:v>
      </x:c>
      <x:c r="E98" s="10" t="str">
        <x:v>工具链异常与取消</x:v>
      </x:c>
      <x:c r="F98" s="10" t="str">
        <x:v>P1；隔离的只读与写入测试工具；不要使用真实业务外部系统</x:v>
      </x:c>
      <x:c r="G98" s="10" t="str">
        <x:v>循环/缺失依赖、重复步骤 ID、错误变量、continueOnError、链路超时与取消</x:v>
      </x:c>
      <x:c r="H98" s="10" t="str">
        <x:v>无死循环
后继按策略停止/继续
终态清楚</x:v>
      </x:c>
      <x:c r="I98" s="10" t="str">
        <x:v>截图或录屏、脱敏请求响应、对象 ID、时间及相关日志</x:v>
      </x:c>
      <x:c r="J98" s="11" t="str">
        <x:v>未执行</x:v>
      </x:c>
      <x:c r="K98" s="11" t="str"/>
      <x:c r="L98" s="11" t="str"/>
      <x:c r="M98" s="11" t="str"/>
      <x:c r="N98" s="12"/>
      <x:c r="O98" s="11" t="str"/>
    </x:row>
    <x:row r="99" ht="39.599998474121094" hidden="0" customHeight="1">
      <x:c r="A99" s="10" t="str">
        <x:v>TOOL-016</x:v>
      </x:c>
      <x:c r="B99" s="10" t="str">
        <x:v>03 配置与项目</x:v>
      </x:c>
      <x:c r="C99" s="10" t="str">
        <x:v>工具、连接器与权限策略</x:v>
      </x:c>
      <x:c r="D99" s="10" t="str">
        <x:v>P1</x:v>
      </x:c>
      <x:c r="E99" s="10" t="str">
        <x:v>工具超时与并发</x:v>
      </x:c>
      <x:c r="F99" s="10" t="str">
        <x:v>P1；隔离的只读与写入测试工具；不要使用真实业务外部系统</x:v>
      </x:c>
      <x:c r="G99" s="10" t="str">
        <x:v>制造单工具超时
超 maxConcurrency
取消后再次合法调用</x:v>
      </x:c>
      <x:c r="H99" s="10" t="str">
        <x:v>有界超时和并发
资源释放
后续调用正常</x:v>
      </x:c>
      <x:c r="I99" s="10" t="str">
        <x:v>截图或录屏、脱敏请求响应、对象 ID、时间及相关日志</x:v>
      </x:c>
      <x:c r="J99" s="11" t="str">
        <x:v>未执行</x:v>
      </x:c>
      <x:c r="K99" s="11" t="str"/>
      <x:c r="L99" s="11" t="str"/>
      <x:c r="M99" s="11" t="str"/>
      <x:c r="N99" s="12"/>
      <x:c r="O99" s="11" t="str"/>
    </x:row>
    <x:row r="100" ht="26.399999618530273" hidden="0" customHeight="1">
      <x:c r="A100" s="10" t="str">
        <x:v>WEB-001</x:v>
      </x:c>
      <x:c r="B100" s="10" t="str">
        <x:v>03 配置与项目</x:v>
      </x:c>
      <x:c r="C100" s="10" t="str">
        <x:v>联网搜索与来源验证</x:v>
      </x:c>
      <x:c r="D100" s="10" t="str">
        <x:v>P1</x:v>
      </x:c>
      <x:c r="E100" s="10" t="str">
        <x:v>搜索配置保存</x:v>
      </x:c>
      <x:c r="F100" s="10" t="str">
        <x:v>隔离 P1；真实搜索提供商；目标为允许公开访问的网站</x:v>
      </x:c>
      <x:c r="G100" s="10" t="str">
        <x:v>逐个保存界面提供的 brave/duckduckgo/multi/hybrid 配置和语言</x:v>
      </x:c>
      <x:c r="H100" s="10" t="str">
        <x:v>刷新回读一致
API Key 不明文显示</x:v>
      </x:c>
      <x:c r="I100" s="10" t="str">
        <x:v>截图或录屏、脱敏请求响应、对象 ID、时间及相关日志</x:v>
      </x:c>
      <x:c r="J100" s="11" t="str">
        <x:v>未执行</x:v>
      </x:c>
      <x:c r="K100" s="11" t="str"/>
      <x:c r="L100" s="11" t="str"/>
      <x:c r="M100" s="11" t="str"/>
      <x:c r="N100" s="12"/>
      <x:c r="O100" s="11" t="str"/>
    </x:row>
    <x:row r="101" ht="26.399999618530273" hidden="0" customHeight="1">
      <x:c r="A101" s="10" t="str">
        <x:v>WEB-002</x:v>
      </x:c>
      <x:c r="B101" s="10" t="str">
        <x:v>03 配置与项目</x:v>
      </x:c>
      <x:c r="C101" s="10" t="str">
        <x:v>联网搜索与来源验证</x:v>
      </x:c>
      <x:c r="D101" s="10" t="str">
        <x:v>P1</x:v>
      </x:c>
      <x:c r="E101" s="10" t="str">
        <x:v>各提供商连接测试</x:v>
      </x:c>
      <x:c r="F101" s="10" t="str">
        <x:v>隔离 P1；真实搜索提供商；目标为允许公开访问的网站</x:v>
      </x:c>
      <x:c r="G101" s="10" t="str">
        <x:v>每个拟交付提供商运行同一查询
检查真实响应与延迟</x:v>
      </x:c>
      <x:c r="H101" s="10" t="str">
        <x:v>返回真实来源
无需 key 的方式与需要 key 的方式有明确差异</x:v>
      </x:c>
      <x:c r="I101" s="10" t="str">
        <x:v>截图或录屏、脱敏请求响应、对象 ID、时间及相关日志</x:v>
      </x:c>
      <x:c r="J101" s="11" t="str">
        <x:v>未执行</x:v>
      </x:c>
      <x:c r="K101" s="11" t="str"/>
      <x:c r="L101" s="11" t="str"/>
      <x:c r="M101" s="11" t="str"/>
      <x:c r="N101" s="12"/>
      <x:c r="O101" s="11" t="str"/>
    </x:row>
    <x:row r="102" ht="26.399999618530273" hidden="0" customHeight="1">
      <x:c r="A102" s="10" t="str">
        <x:v>WEB-003</x:v>
      </x:c>
      <x:c r="B102" s="10" t="str">
        <x:v>03 配置与项目</x:v>
      </x:c>
      <x:c r="C102" s="10" t="str">
        <x:v>联网搜索与来源验证</x:v>
      </x:c>
      <x:c r="D102" s="10" t="str">
        <x:v>P1</x:v>
      </x:c>
      <x:c r="E102" s="10" t="str">
        <x:v>多源去重与排序</x:v>
      </x:c>
      <x:c r="F102" s="10" t="str">
        <x:v>隔离 P1；真实搜索提供商；目标为允许公开访问的网站</x:v>
      </x:c>
      <x:c r="G102" s="10" t="str">
        <x:v>multi/hybrid 搜索重复页面和相似来源</x:v>
      </x:c>
      <x:c r="H102" s="10" t="str">
        <x:v>重复 URL 合理合并
来源、日期、可信度与相关性可查</x:v>
      </x:c>
      <x:c r="I102" s="10" t="str">
        <x:v>截图或录屏、脱敏请求响应、对象 ID、时间及相关日志</x:v>
      </x:c>
      <x:c r="J102" s="11" t="str">
        <x:v>未执行</x:v>
      </x:c>
      <x:c r="K102" s="11" t="str"/>
      <x:c r="L102" s="11" t="str"/>
      <x:c r="M102" s="11" t="str"/>
      <x:c r="N102" s="12"/>
      <x:c r="O102" s="11" t="str"/>
    </x:row>
    <x:row r="103" ht="39.599998474121094" hidden="0" customHeight="1">
      <x:c r="A103" s="10" t="str">
        <x:v>WEB-004</x:v>
      </x:c>
      <x:c r="B103" s="10" t="str">
        <x:v>03 配置与项目</x:v>
      </x:c>
      <x:c r="C103" s="10" t="str">
        <x:v>联网搜索与来源验证</x:v>
      </x:c>
      <x:c r="D103" s="10" t="str">
        <x:v>P1</x:v>
      </x:c>
      <x:c r="E103" s="10" t="str">
        <x:v>错误 key 与超时</x:v>
      </x:c>
      <x:c r="F103" s="10" t="str">
        <x:v>隔离 P1；真实搜索提供商；目标为允许公开访问的网站</x:v>
      </x:c>
      <x:c r="G103" s="10" t="str">
        <x:v>使用无效凭据、不可达服务、空结果/限流响应</x:v>
      </x:c>
      <x:c r="H103" s="10" t="str">
        <x:v>错误明确
可重试或合理回退
不伪造找到来源</x:v>
      </x:c>
      <x:c r="I103" s="10" t="str">
        <x:v>截图或录屏、脱敏请求响应、对象 ID、时间及相关日志</x:v>
      </x:c>
      <x:c r="J103" s="11" t="str">
        <x:v>未执行</x:v>
      </x:c>
      <x:c r="K103" s="11" t="str"/>
      <x:c r="L103" s="11" t="str"/>
      <x:c r="M103" s="11" t="str"/>
      <x:c r="N103" s="12"/>
      <x:c r="O103" s="11" t="str"/>
    </x:row>
    <x:row r="104" ht="39.599998474121094" hidden="0" customHeight="1">
      <x:c r="A104" s="10" t="str">
        <x:v>WEB-005</x:v>
      </x:c>
      <x:c r="B104" s="10" t="str">
        <x:v>03 配置与项目</x:v>
      </x:c>
      <x:c r="C104" s="10" t="str">
        <x:v>联网搜索与来源验证</x:v>
      </x:c>
      <x:c r="D104" s="10" t="str">
        <x:v>P0</x:v>
      </x:c>
      <x:c r="E104" s="10" t="str">
        <x:v>联网关闭</x:v>
      </x:c>
      <x:c r="F104" s="10" t="str">
        <x:v>隔离 P1；真实搜索提供商；目标为允许公开访问的网站</x:v>
      </x:c>
      <x:c r="G104" s="10" t="str">
        <x:v>全局/项目/运行分别关闭联网
提问需最新外部数据的问题</x:v>
      </x:c>
      <x:c r="H104" s="10" t="str">
        <x:v>关闭的层级有效
无外部请求
回答说明限制</x:v>
      </x:c>
      <x:c r="I104" s="10" t="str">
        <x:v>截图或录屏、脱敏请求响应、对象 ID、时间及相关日志</x:v>
      </x:c>
      <x:c r="J104" s="11" t="str">
        <x:v>未执行</x:v>
      </x:c>
      <x:c r="K104" s="11" t="str"/>
      <x:c r="L104" s="11" t="str"/>
      <x:c r="M104" s="11" t="str"/>
      <x:c r="N104" s="12"/>
      <x:c r="O104" s="11" t="str"/>
    </x:row>
    <x:row r="105" ht="39.599998474121094" hidden="0" customHeight="1">
      <x:c r="A105" s="10" t="str">
        <x:v>WEB-006</x:v>
      </x:c>
      <x:c r="B105" s="10" t="str">
        <x:v>03 配置与项目</x:v>
      </x:c>
      <x:c r="C105" s="10" t="str">
        <x:v>联网搜索与来源验证</x:v>
      </x:c>
      <x:c r="D105" s="10" t="str">
        <x:v>P0</x:v>
      </x:c>
      <x:c r="E105" s="10" t="str">
        <x:v>联网开启</x:v>
      </x:c>
      <x:c r="F105" s="10" t="str">
        <x:v>隔离 P1；真实搜索提供商；目标为允许公开访问的网站</x:v>
      </x:c>
      <x:c r="G105" s="10" t="str">
        <x:v>全局与项目允许
运行开启
提问当前动态事实</x:v>
      </x:c>
      <x:c r="H105" s="10" t="str">
        <x:v>有真实工具调用、URL 和内容
不能凭旧记忆假称查过</x:v>
      </x:c>
      <x:c r="I105" s="10" t="str">
        <x:v>截图或录屏、脱敏请求响应、对象 ID、时间及相关日志</x:v>
      </x:c>
      <x:c r="J105" s="11" t="str">
        <x:v>未执行</x:v>
      </x:c>
      <x:c r="K105" s="11" t="str"/>
      <x:c r="L105" s="11" t="str"/>
      <x:c r="M105" s="11" t="str"/>
      <x:c r="N105" s="12"/>
      <x:c r="O105" s="11" t="str"/>
    </x:row>
    <x:row r="106" ht="26.399999618530273" hidden="0" customHeight="1">
      <x:c r="A106" s="10" t="str">
        <x:v>WEB-007</x:v>
      </x:c>
      <x:c r="B106" s="10" t="str">
        <x:v>03 配置与项目</x:v>
      </x:c>
      <x:c r="C106" s="10" t="str">
        <x:v>联网搜索与来源验证</x:v>
      </x:c>
      <x:c r="D106" s="10" t="str">
        <x:v>P1</x:v>
      </x:c>
      <x:c r="E106" s="10" t="str">
        <x:v>来源内容读取</x:v>
      </x:c>
      <x:c r="F106" s="10" t="str">
        <x:v>隔离 P1；真实搜索提供商；目标为允许公开访问的网站</x:v>
      </x:c>
      <x:c r="G106" s="10" t="str">
        <x:v>打开正常 HTML、重定向页面、正文受限页和搜索摘要</x:v>
      </x:c>
      <x:c r="H106" s="10" t="str">
        <x:v>区分全文、摘要和无法读取
引用不能冒充已完整阅读</x:v>
      </x:c>
      <x:c r="I106" s="10" t="str">
        <x:v>截图或录屏、脱敏请求响应、对象 ID、时间及相关日志</x:v>
      </x:c>
      <x:c r="J106" s="11" t="str">
        <x:v>未执行</x:v>
      </x:c>
      <x:c r="K106" s="11" t="str"/>
      <x:c r="L106" s="11" t="str"/>
      <x:c r="M106" s="11" t="str"/>
      <x:c r="N106" s="12"/>
      <x:c r="O106" s="11" t="str"/>
    </x:row>
    <x:row r="107" ht="26.399999618530273" hidden="0" customHeight="1">
      <x:c r="A107" s="10" t="str">
        <x:v>WEB-008</x:v>
      </x:c>
      <x:c r="B107" s="10" t="str">
        <x:v>03 配置与项目</x:v>
      </x:c>
      <x:c r="C107" s="10" t="str">
        <x:v>联网搜索与来源验证</x:v>
      </x:c>
      <x:c r="D107" s="10" t="str">
        <x:v>P1</x:v>
      </x:c>
      <x:c r="E107" s="10" t="str">
        <x:v>相对日期解析</x:v>
      </x:c>
      <x:c r="F107" s="10" t="str">
        <x:v>隔离 P1；真实搜索提供商；目标为允许公开访问的网站</x:v>
      </x:c>
      <x:c r="G107" s="10" t="str">
        <x:v>询问今天、本周、去年和指定历史日
检查请求时间上下文</x:v>
      </x:c>
      <x:c r="H107" s="10" t="str">
        <x:v>按当前 Asia/Shanghai 日期推导
不默认旧年份</x:v>
      </x:c>
      <x:c r="I107" s="10" t="str">
        <x:v>截图或录屏、脱敏请求响应、对象 ID、时间及相关日志</x:v>
      </x:c>
      <x:c r="J107" s="11" t="str">
        <x:v>未执行</x:v>
      </x:c>
      <x:c r="K107" s="11" t="str"/>
      <x:c r="L107" s="11" t="str"/>
      <x:c r="M107" s="11" t="str"/>
      <x:c r="N107" s="12"/>
      <x:c r="O107" s="11" t="str"/>
    </x:row>
    <x:row r="108" ht="26.399999618530273" hidden="0" customHeight="1">
      <x:c r="A108" s="10" t="str">
        <x:v>WEB-009</x:v>
      </x:c>
      <x:c r="B108" s="10" t="str">
        <x:v>03 配置与项目</x:v>
      </x:c>
      <x:c r="C108" s="10" t="str">
        <x:v>联网搜索与来源验证</x:v>
      </x:c>
      <x:c r="D108" s="10" t="str">
        <x:v>P1</x:v>
      </x:c>
      <x:c r="E108" s="10" t="str">
        <x:v>来源真实性</x:v>
      </x:c>
      <x:c r="F108" s="10" t="str">
        <x:v>隔离 P1；真实搜索提供商；目标为允许公开访问的网站</x:v>
      </x:c>
      <x:c r="G108" s="10" t="str">
        <x:v>输入不存在 URL、无关标题、摘录与内容不匹配、超长或无日期来源</x:v>
      </x:c>
      <x:c r="H108" s="10" t="str">
        <x:v>验证状态准确
不可用来源不被标成确认事实</x:v>
      </x:c>
      <x:c r="I108" s="10" t="str">
        <x:v>截图或录屏、脱敏请求响应、对象 ID、时间及相关日志</x:v>
      </x:c>
      <x:c r="J108" s="11" t="str">
        <x:v>未执行</x:v>
      </x:c>
      <x:c r="K108" s="11" t="str"/>
      <x:c r="L108" s="11" t="str"/>
      <x:c r="M108" s="11" t="str"/>
      <x:c r="N108" s="12"/>
      <x:c r="O108" s="11" t="str"/>
    </x:row>
    <x:row r="109" ht="39.599998474121094" hidden="0" customHeight="1">
      <x:c r="A109" s="10" t="str">
        <x:v>WEB-010</x:v>
      </x:c>
      <x:c r="B109" s="10" t="str">
        <x:v>03 配置与项目</x:v>
      </x:c>
      <x:c r="C109" s="10" t="str">
        <x:v>联网搜索与来源验证</x:v>
      </x:c>
      <x:c r="D109" s="10" t="str">
        <x:v>P1</x:v>
      </x:c>
      <x:c r="E109" s="10" t="str">
        <x:v>保存网页证据</x:v>
      </x:c>
      <x:c r="F109" s="10" t="str">
        <x:v>隔离 P1；真实搜索提供商；目标为允许公开访问的网站</x:v>
      </x:c>
      <x:c r="G109" s="10" t="str">
        <x:v>将一次外部引用保存到知识库
等待索引
再次保存相同引用</x:v>
      </x:c>
      <x:c r="H109" s="10" t="str">
        <x:v>资产可追溯到原 URL
成功后可检索
重复行为不失控</x:v>
      </x:c>
      <x:c r="I109" s="10" t="str">
        <x:v>截图或录屏、脱敏请求响应、对象 ID、时间及相关日志</x:v>
      </x:c>
      <x:c r="J109" s="11" t="str">
        <x:v>未执行</x:v>
      </x:c>
      <x:c r="K109" s="11" t="str"/>
      <x:c r="L109" s="11" t="str"/>
      <x:c r="M109" s="11" t="str"/>
      <x:c r="N109" s="12"/>
      <x:c r="O109" s="11" t="str"/>
    </x:row>
    <x:row r="110" ht="39.599998474121094" hidden="0" customHeight="1">
      <x:c r="A110" s="10" t="str">
        <x:v>WEB-011</x:v>
      </x:c>
      <x:c r="B110" s="10" t="str">
        <x:v>03 配置与项目</x:v>
      </x:c>
      <x:c r="C110" s="10" t="str">
        <x:v>联网搜索与来源验证</x:v>
      </x:c>
      <x:c r="D110" s="10" t="str">
        <x:v>P0</x:v>
      </x:c>
      <x:c r="E110" s="10" t="str">
        <x:v>搜索隐私边界</x:v>
      </x:c>
      <x:c r="F110" s="10" t="str">
        <x:v>隔离 P1；真实搜索提供商；目标为允许公开访问的网站</x:v>
      </x:c>
      <x:c r="G110" s="10" t="str">
        <x:v>给内部私有资料放唯一标记
仅内部问题不开联网
审查联网请求内容</x:v>
      </x:c>
      <x:c r="H110" s="10" t="str">
        <x:v>未授权的敏感原文/凭据不发送外部
搜索范围可解释</x:v>
      </x:c>
      <x:c r="I110" s="10" t="str">
        <x:v>截图或录屏、脱敏请求响应、对象 ID、时间及相关日志</x:v>
      </x:c>
      <x:c r="J110" s="11" t="str">
        <x:v>未执行</x:v>
      </x:c>
      <x:c r="K110" s="11" t="str"/>
      <x:c r="L110" s="11" t="str"/>
      <x:c r="M110" s="11" t="str"/>
      <x:c r="N110" s="12"/>
      <x:c r="O110" s="11" t="str"/>
    </x:row>
    <x:row r="111" ht="39.599998474121094" hidden="0" customHeight="1">
      <x:c r="A111" s="10" t="str">
        <x:v>WEB-012</x:v>
      </x:c>
      <x:c r="B111" s="10" t="str">
        <x:v>03 配置与项目</x:v>
      </x:c>
      <x:c r="C111" s="10" t="str">
        <x:v>联网搜索与来源验证</x:v>
      </x:c>
      <x:c r="D111" s="10" t="str">
        <x:v>P0</x:v>
      </x:c>
      <x:c r="E111" s="10" t="str">
        <x:v>来源 SSRF 边界</x:v>
      </x:c>
      <x:c r="F111" s="10" t="str">
        <x:v>隔离 P1；真实搜索提供商；目标为允许公开访问的网站</x:v>
      </x:c>
      <x:c r="G111" s="10" t="str">
        <x:v>在 QA 测试 localhost、127.0.0.1、私网、云元数据测试替身、非 HTTP 协议和重定向到内网</x:v>
      </x:c>
      <x:c r="H111" s="10" t="str">
        <x:v>拒绝不允许目标
无内部数据读取
不要请求真实云凭据</x:v>
      </x:c>
      <x:c r="I111" s="10" t="str">
        <x:v>截图或录屏、脱敏请求响应、对象 ID、时间及相关日志</x:v>
      </x:c>
      <x:c r="J111" s="11" t="str">
        <x:v>未执行</x:v>
      </x:c>
      <x:c r="K111" s="11" t="str"/>
      <x:c r="L111" s="11" t="str"/>
      <x:c r="M111" s="11" t="str"/>
      <x:c r="N111" s="12"/>
      <x:c r="O111" s="11" t="str"/>
    </x:row>
    <x:row r="112" ht="39.599998474121094" hidden="0" customHeight="1">
      <x:c r="A112" s="10" t="str">
        <x:v>ASSET-001</x:v>
      </x:c>
      <x:c r="B112" s="10" t="str">
        <x:v>04 文件与索引</x:v>
      </x:c>
      <x:c r="C112" s="10" t="str">
        <x:v>知识资料上传、索引与切分</x:v>
      </x:c>
      <x:c r="D112" s="10" t="str">
        <x:v>P0</x:v>
      </x:c>
      <x:c r="E112" s="10" t="str">
        <x:v>单文件上传</x:v>
      </x:c>
      <x:c r="F112" s="10" t="str">
        <x:v>P1/P2；fixtures 中的业务、冲突、长文与隔离资料；真实存储和生产检索配置</x:v>
      </x:c>
      <x:c r="G112" s="10" t="str">
        <x:v>上传 01-business.md
观察上传、解析、切分、向量化、索引过程</x:v>
      </x:c>
      <x:c r="H112" s="10" t="str">
        <x:v>最终 SUCCESS/可检索
原始文件可下载
保存真实 metadata</x:v>
      </x:c>
      <x:c r="I112" s="10" t="str">
        <x:v>截图或录屏、脱敏请求响应、对象 ID、时间及相关日志</x:v>
      </x:c>
      <x:c r="J112" s="11" t="str">
        <x:v>未执行</x:v>
      </x:c>
      <x:c r="K112" s="11" t="str"/>
      <x:c r="L112" s="11" t="str"/>
      <x:c r="M112" s="11" t="str"/>
      <x:c r="N112" s="12"/>
      <x:c r="O112" s="11" t="str"/>
    </x:row>
    <x:row r="113" ht="39.599998474121094" hidden="0" customHeight="1">
      <x:c r="A113" s="10" t="str">
        <x:v>ASSET-002</x:v>
      </x:c>
      <x:c r="B113" s="10" t="str">
        <x:v>04 文件与索引</x:v>
      </x:c>
      <x:c r="C113" s="10" t="str">
        <x:v>知识资料上传、索引与切分</x:v>
      </x:c>
      <x:c r="D113" s="10" t="str">
        <x:v>P1</x:v>
      </x:c>
      <x:c r="E113" s="10" t="str">
        <x:v>多文件上传</x:v>
      </x:c>
      <x:c r="F113" s="10" t="str">
        <x:v>P1/P2；fixtures 中的业务、冲突、长文与隔离资料；真实存储和生产检索配置</x:v>
      </x:c>
      <x:c r="G113" s="10" t="str">
        <x:v>一次选择不同格式的多份资料
其中一份故意损坏</x:v>
      </x:c>
      <x:c r="H113" s="10" t="str">
        <x:v>各文件独立显示结果
一份失败不伪装全部成功</x:v>
      </x:c>
      <x:c r="I113" s="10" t="str">
        <x:v>截图或录屏、脱敏请求响应、对象 ID、时间及相关日志</x:v>
      </x:c>
      <x:c r="J113" s="11" t="str">
        <x:v>未执行</x:v>
      </x:c>
      <x:c r="K113" s="11" t="str"/>
      <x:c r="L113" s="11" t="str"/>
      <x:c r="M113" s="11" t="str"/>
      <x:c r="N113" s="12"/>
      <x:c r="O113" s="11" t="str"/>
    </x:row>
    <x:row r="114" ht="39.599998474121094" hidden="0" customHeight="1">
      <x:c r="A114" s="10" t="str">
        <x:v>ASSET-003</x:v>
      </x:c>
      <x:c r="B114" s="10" t="str">
        <x:v>04 文件与索引</x:v>
      </x:c>
      <x:c r="C114" s="10" t="str">
        <x:v>知识资料上传、索引与切分</x:v>
      </x:c>
      <x:c r="D114" s="10" t="str">
        <x:v>P1</x:v>
      </x:c>
      <x:c r="E114" s="10" t="str">
        <x:v>空文件</x:v>
      </x:c>
      <x:c r="F114" s="10" t="str">
        <x:v>P1/P2；fixtures 中的业务、冲突、长文与隔离资料；真实存储和生产检索配置</x:v>
      </x:c>
      <x:c r="G114" s="10" t="str">
        <x:v>上传 0 字节文件</x:v>
      </x:c>
      <x:c r="H114" s="10" t="str">
        <x:v>拒绝并显示 EMPTY_FILE
不占存储配额</x:v>
      </x:c>
      <x:c r="I114" s="10" t="str">
        <x:v>截图或录屏、脱敏请求响应、对象 ID、时间及相关日志</x:v>
      </x:c>
      <x:c r="J114" s="11" t="str">
        <x:v>未执行</x:v>
      </x:c>
      <x:c r="K114" s="11" t="str"/>
      <x:c r="L114" s="11" t="str"/>
      <x:c r="M114" s="11" t="str"/>
      <x:c r="N114" s="12"/>
      <x:c r="O114" s="11" t="str"/>
    </x:row>
    <x:row r="115" ht="39.599998474121094" hidden="0" customHeight="1">
      <x:c r="A115" s="10" t="str">
        <x:v>ASSET-004</x:v>
      </x:c>
      <x:c r="B115" s="10" t="str">
        <x:v>04 文件与索引</x:v>
      </x:c>
      <x:c r="C115" s="10" t="str">
        <x:v>知识资料上传、索引与切分</x:v>
      </x:c>
      <x:c r="D115" s="10" t="str">
        <x:v>P0</x:v>
      </x:c>
      <x:c r="E115" s="10" t="str">
        <x:v>非法文件类型与伪装</x:v>
      </x:c>
      <x:c r="F115" s="10" t="str">
        <x:v>P1/P2；fixtures 中的业务、冲突、长文与隔离资料；真实存储和生产检索配置</x:v>
      </x:c>
      <x:c r="G115" s="10" t="str">
        <x:v>上传 exe/zip 不支持类型
把随机二进制改为 .pdf
测试错误 MIME</x:v>
      </x:c>
      <x:c r="H115" s="10" t="str">
        <x:v>非法格式拒绝或解析失败
不执行内容
不假成功</x:v>
      </x:c>
      <x:c r="I115" s="10" t="str">
        <x:v>截图或录屏、脱敏请求响应、对象 ID、时间及相关日志</x:v>
      </x:c>
      <x:c r="J115" s="11" t="str">
        <x:v>未执行</x:v>
      </x:c>
      <x:c r="K115" s="11" t="str"/>
      <x:c r="L115" s="11" t="str"/>
      <x:c r="M115" s="11" t="str"/>
      <x:c r="N115" s="12"/>
      <x:c r="O115" s="11" t="str"/>
    </x:row>
    <x:row r="116" ht="39.599998474121094" hidden="0" customHeight="1">
      <x:c r="A116" s="10" t="str">
        <x:v>ASSET-005</x:v>
      </x:c>
      <x:c r="B116" s="10" t="str">
        <x:v>04 文件与索引</x:v>
      </x:c>
      <x:c r="C116" s="10" t="str">
        <x:v>知识资料上传、索引与切分</x:v>
      </x:c>
      <x:c r="D116" s="10" t="str">
        <x:v>P1</x:v>
      </x:c>
      <x:c r="E116" s="10" t="str">
        <x:v>单文件大小边界</x:v>
      </x:c>
      <x:c r="F116" s="10" t="str">
        <x:v>P1/P2；fixtures 中的业务、冲突、长文与隔离资料；真实存储和生产检索配置</x:v>
      </x:c>
      <x:c r="G116" s="10" t="str">
        <x:v>在 QA 上传 256 MiB-1 字节与 256 MiB 文件及超过值</x:v>
      </x:c>
      <x:c r="H116" s="10" t="str">
        <x:v>小于阈值按合法格式继续
等于/大于 256 MiB 拒绝
错误清楚</x:v>
      </x:c>
      <x:c r="I116" s="10" t="str">
        <x:v>截图或录屏、脱敏请求响应、对象 ID、时间及相关日志</x:v>
      </x:c>
      <x:c r="J116" s="11" t="str">
        <x:v>未执行</x:v>
      </x:c>
      <x:c r="K116" s="11" t="str"/>
      <x:c r="L116" s="11" t="str"/>
      <x:c r="M116" s="11" t="str"/>
      <x:c r="N116" s="12"/>
      <x:c r="O116" s="11" t="str"/>
    </x:row>
    <x:row r="117" ht="39.599998474121094" hidden="0" customHeight="1">
      <x:c r="A117" s="10" t="str">
        <x:v>ASSET-006</x:v>
      </x:c>
      <x:c r="B117" s="10" t="str">
        <x:v>04 文件与索引</x:v>
      </x:c>
      <x:c r="C117" s="10" t="str">
        <x:v>知识资料上传、索引与切分</x:v>
      </x:c>
      <x:c r="D117" s="10" t="str">
        <x:v>P0</x:v>
      </x:c>
      <x:c r="E117" s="10" t="str">
        <x:v>总配额边界</x:v>
      </x:c>
      <x:c r="F117" s="10" t="str">
        <x:v>P1/P2；fixtures 中的业务、冲突、长文与隔离资料；真实存储和生产检索配置</x:v>
      </x:c>
      <x:c r="G117" s="10" t="str">
        <x:v>接近用户 512 MiB 总配额
连续与并发上传
删除 QA 资料后再上传</x:v>
      </x:c>
      <x:c r="H117" s="10" t="str">
        <x:v>合计不超额度
文件和知识资料共同统计
释放后可用</x:v>
      </x:c>
      <x:c r="I117" s="10" t="str">
        <x:v>截图或录屏、脱敏请求响应、对象 ID、时间及相关日志</x:v>
      </x:c>
      <x:c r="J117" s="11" t="str">
        <x:v>未执行</x:v>
      </x:c>
      <x:c r="K117" s="11" t="str"/>
      <x:c r="L117" s="11" t="str"/>
      <x:c r="M117" s="11" t="str"/>
      <x:c r="N117" s="12"/>
      <x:c r="O117" s="11" t="str"/>
    </x:row>
    <x:row r="118" ht="39.599998474121094" hidden="0" customHeight="1">
      <x:c r="A118" s="10" t="str">
        <x:v>ASSET-007</x:v>
      </x:c>
      <x:c r="B118" s="10" t="str">
        <x:v>04 文件与索引</x:v>
      </x:c>
      <x:c r="C118" s="10" t="str">
        <x:v>知识资料上传、索引与切分</x:v>
      </x:c>
      <x:c r="D118" s="10" t="str">
        <x:v>P1</x:v>
      </x:c>
      <x:c r="E118" s="10" t="str">
        <x:v>重复文件</x:v>
      </x:c>
      <x:c r="F118" s="10" t="str">
        <x:v>P1/P2；fixtures 中的业务、冲突、长文与隔离资料；真实存储和生产检索配置</x:v>
      </x:c>
      <x:c r="G118" s="10" t="str">
        <x:v>同名同内容、同名不同内容、不同名同内容重复上传</x:v>
      </x:c>
      <x:c r="H118" s="10" t="str">
        <x:v>行为与去重策略一致
没有不可解释覆盖或重复引用</x:v>
      </x:c>
      <x:c r="I118" s="10" t="str">
        <x:v>截图或录屏、脱敏请求响应、对象 ID、时间及相关日志</x:v>
      </x:c>
      <x:c r="J118" s="11" t="str">
        <x:v>未执行</x:v>
      </x:c>
      <x:c r="K118" s="11" t="str"/>
      <x:c r="L118" s="11" t="str"/>
      <x:c r="M118" s="11" t="str"/>
      <x:c r="N118" s="12"/>
      <x:c r="O118" s="11" t="str"/>
    </x:row>
    <x:row r="119" ht="39.599998474121094" hidden="0" customHeight="1">
      <x:c r="A119" s="10" t="str">
        <x:v>ASSET-008</x:v>
      </x:c>
      <x:c r="B119" s="10" t="str">
        <x:v>04 文件与索引</x:v>
      </x:c>
      <x:c r="C119" s="10" t="str">
        <x:v>知识资料上传、索引与切分</x:v>
      </x:c>
      <x:c r="D119" s="10" t="str">
        <x:v>P0</x:v>
      </x:c>
      <x:c r="E119" s="10" t="str">
        <x:v>危险与长文件名</x:v>
      </x:c>
      <x:c r="F119" s="10" t="str">
        <x:v>P1/P2；fixtures 中的业务、冲突、长文与隔离资料；真实存储和生产检索配置</x:v>
      </x:c>
      <x:c r="G119" s="10" t="str">
        <x:v>中文、空格、引号、超长、../ 路径样式文件名</x:v>
      </x:c>
      <x:c r="H119" s="10" t="str">
        <x:v>文件名安全保存和下载
不越过存储目录
页面不溢出</x:v>
      </x:c>
      <x:c r="I119" s="10" t="str">
        <x:v>截图或录屏、脱敏请求响应、对象 ID、时间及相关日志</x:v>
      </x:c>
      <x:c r="J119" s="11" t="str">
        <x:v>未执行</x:v>
      </x:c>
      <x:c r="K119" s="11" t="str"/>
      <x:c r="L119" s="11" t="str"/>
      <x:c r="M119" s="11" t="str"/>
      <x:c r="N119" s="12"/>
      <x:c r="O119" s="11" t="str"/>
    </x:row>
    <x:row r="120" ht="39.599998474121094" hidden="0" customHeight="1">
      <x:c r="A120" s="10" t="str">
        <x:v>ASSET-009</x:v>
      </x:c>
      <x:c r="B120" s="10" t="str">
        <x:v>04 文件与索引</x:v>
      </x:c>
      <x:c r="C120" s="10" t="str">
        <x:v>知识资料上传、索引与切分</x:v>
      </x:c>
      <x:c r="D120" s="10" t="str">
        <x:v>P1</x:v>
      </x:c>
      <x:c r="E120" s="10" t="str">
        <x:v>索引失败与重试</x:v>
      </x:c>
      <x:c r="F120" s="10" t="str">
        <x:v>P1/P2；fixtures 中的业务、冲突、长文与隔离资料；真实存储和生产检索配置</x:v>
      </x:c>
      <x:c r="G120" s="10" t="str">
        <x:v>断开拟用 Embedding 或 Milvus
上传
恢复后重新索引</x:v>
      </x:c>
      <x:c r="H120" s="10" t="str">
        <x:v>FAILED 原因可见
重试成功
不留下伪可检索数据</x:v>
      </x:c>
      <x:c r="I120" s="10" t="str">
        <x:v>截图或录屏、脱敏请求响应、对象 ID、时间及相关日志</x:v>
      </x:c>
      <x:c r="J120" s="11" t="str">
        <x:v>未执行</x:v>
      </x:c>
      <x:c r="K120" s="11" t="str"/>
      <x:c r="L120" s="11" t="str"/>
      <x:c r="M120" s="11" t="str"/>
      <x:c r="N120" s="12"/>
      <x:c r="O120" s="11" t="str"/>
    </x:row>
    <x:row r="121" ht="39.599998474121094" hidden="0" customHeight="1">
      <x:c r="A121" s="10" t="str">
        <x:v>ASSET-010</x:v>
      </x:c>
      <x:c r="B121" s="10" t="str">
        <x:v>04 文件与索引</x:v>
      </x:c>
      <x:c r="C121" s="10" t="str">
        <x:v>知识资料上传、索引与切分</x:v>
      </x:c>
      <x:c r="D121" s="10" t="str">
        <x:v>P1</x:v>
      </x:c>
      <x:c r="E121" s="10" t="str">
        <x:v>索引过程刷新</x:v>
      </x:c>
      <x:c r="F121" s="10" t="str">
        <x:v>P1/P2；fixtures 中的业务、冲突、长文与隔离资料；真实存储和生产检索配置</x:v>
      </x:c>
      <x:c r="G121" s="10" t="str">
        <x:v>上传大文档期间刷新、离开再返回</x:v>
      </x:c>
      <x:c r="H121" s="10" t="str">
        <x:v>状态持续从后端同步
不会永远显示旧进度</x:v>
      </x:c>
      <x:c r="I121" s="10" t="str">
        <x:v>截图或录屏、脱敏请求响应、对象 ID、时间及相关日志</x:v>
      </x:c>
      <x:c r="J121" s="11" t="str">
        <x:v>未执行</x:v>
      </x:c>
      <x:c r="K121" s="11" t="str"/>
      <x:c r="L121" s="11" t="str"/>
      <x:c r="M121" s="11" t="str"/>
      <x:c r="N121" s="12"/>
      <x:c r="O121" s="11" t="str"/>
    </x:row>
    <x:row r="122" ht="39.599998474121094" hidden="0" customHeight="1">
      <x:c r="A122" s="10" t="str">
        <x:v>ASSET-011</x:v>
      </x:c>
      <x:c r="B122" s="10" t="str">
        <x:v>04 文件与索引</x:v>
      </x:c>
      <x:c r="C122" s="10" t="str">
        <x:v>知识资料上传、索引与切分</x:v>
      </x:c>
      <x:c r="D122" s="10" t="str">
        <x:v>P1</x:v>
      </x:c>
      <x:c r="E122" s="10" t="str">
        <x:v>资料搜索与筛选</x:v>
      </x:c>
      <x:c r="F122" s="10" t="str">
        <x:v>P1/P2；fixtures 中的业务、冲突、长文与隔离资料；真实存储和生产检索配置</x:v>
      </x:c>
      <x:c r="G122" s="10" t="str">
        <x:v>按名称、文件类型、索引状态搜索筛选</x:v>
      </x:c>
      <x:c r="H122" s="10" t="str">
        <x:v>列表、计数与勾选范围一致
无旧项目混入</x:v>
      </x:c>
      <x:c r="I122" s="10" t="str">
        <x:v>截图或录屏、脱敏请求响应、对象 ID、时间及相关日志</x:v>
      </x:c>
      <x:c r="J122" s="11" t="str">
        <x:v>未执行</x:v>
      </x:c>
      <x:c r="K122" s="11" t="str"/>
      <x:c r="L122" s="11" t="str"/>
      <x:c r="M122" s="11" t="str"/>
      <x:c r="N122" s="12"/>
      <x:c r="O122" s="11" t="str"/>
    </x:row>
    <x:row r="123" ht="39.599998474121094" hidden="0" customHeight="1">
      <x:c r="A123" s="10" t="str">
        <x:v>ASSET-012</x:v>
      </x:c>
      <x:c r="B123" s="10" t="str">
        <x:v>04 文件与索引</x:v>
      </x:c>
      <x:c r="C123" s="10" t="str">
        <x:v>知识资料上传、索引与切分</x:v>
      </x:c>
      <x:c r="D123" s="10" t="str">
        <x:v>P1</x:v>
      </x:c>
      <x:c r="E123" s="10" t="str">
        <x:v>批量选择与操作</x:v>
      </x:c>
      <x:c r="F123" s="10" t="str">
        <x:v>P1/P2；fixtures 中的业务、冲突、长文与隔离资料；真实存储和生产检索配置</x:v>
      </x:c>
      <x:c r="G123" s="10" t="str">
        <x:v>逐项勾选、全选可见项、筛选后全选、清空
批量重索引/删除 QA 资料</x:v>
      </x:c>
      <x:c r="H123" s="10" t="str">
        <x:v>仅处理真实选中的 ID
不能误删未选资料</x:v>
      </x:c>
      <x:c r="I123" s="10" t="str">
        <x:v>截图或录屏、脱敏请求响应、对象 ID、时间及相关日志</x:v>
      </x:c>
      <x:c r="J123" s="11" t="str">
        <x:v>未执行</x:v>
      </x:c>
      <x:c r="K123" s="11" t="str"/>
      <x:c r="L123" s="11" t="str"/>
      <x:c r="M123" s="11" t="str"/>
      <x:c r="N123" s="12"/>
      <x:c r="O123" s="11" t="str"/>
    </x:row>
    <x:row r="124" ht="39.599998474121094" hidden="0" customHeight="1">
      <x:c r="A124" s="10" t="str">
        <x:v>ASSET-013</x:v>
      </x:c>
      <x:c r="B124" s="10" t="str">
        <x:v>04 文件与索引</x:v>
      </x:c>
      <x:c r="C124" s="10" t="str">
        <x:v>知识资料上传、索引与切分</x:v>
      </x:c>
      <x:c r="D124" s="10" t="str">
        <x:v>P1</x:v>
      </x:c>
      <x:c r="E124" s="10" t="str">
        <x:v>默认切分配置</x:v>
      </x:c>
      <x:c r="F124" s="10" t="str">
        <x:v>P1/P2；fixtures 中的业务、冲突、长文与隔离资料；真实存储和生产检索配置</x:v>
      </x:c>
      <x:c r="G124" s="10" t="str">
        <x:v>查看 strategy、chunkSize=1200、chunkOverlap=180、preserveSections
保存并刷新</x:v>
      </x:c>
      <x:c r="H124" s="10" t="str">
        <x:v>默认和保存值准确
配置有权限与范围验证</x:v>
      </x:c>
      <x:c r="I124" s="10" t="str">
        <x:v>截图或录屏、脱敏请求响应、对象 ID、时间及相关日志</x:v>
      </x:c>
      <x:c r="J124" s="11" t="str">
        <x:v>未执行</x:v>
      </x:c>
      <x:c r="K124" s="11" t="str"/>
      <x:c r="L124" s="11" t="str"/>
      <x:c r="M124" s="11" t="str"/>
      <x:c r="N124" s="12"/>
      <x:c r="O124" s="11" t="str"/>
    </x:row>
    <x:row r="125" ht="39.599998474121094" hidden="0" customHeight="1">
      <x:c r="A125" s="10" t="str">
        <x:v>ASSET-014</x:v>
      </x:c>
      <x:c r="B125" s="10" t="str">
        <x:v>04 文件与索引</x:v>
      </x:c>
      <x:c r="C125" s="10" t="str">
        <x:v>知识资料上传、索引与切分</x:v>
      </x:c>
      <x:c r="D125" s="10" t="str">
        <x:v>P1</x:v>
      </x:c>
      <x:c r="E125" s="10" t="str">
        <x:v>切分三种策略</x:v>
      </x:c>
      <x:c r="F125" s="10" t="str">
        <x:v>P1/P2；fixtures 中的业务、冲突、长文与隔离资料；真实存储和生产检索配置</x:v>
      </x:c>
      <x:c r="G125" s="10" t="str">
        <x:v>分别 natural/paragraph/fixed 索引同一长文
对照原文</x:v>
      </x:c>
      <x:c r="H125" s="10" t="str">
        <x:v>块内容完整、顺序与重叠合理
保留标题设置生效</x:v>
      </x:c>
      <x:c r="I125" s="10" t="str">
        <x:v>截图或录屏、脱敏请求响应、对象 ID、时间及相关日志</x:v>
      </x:c>
      <x:c r="J125" s="11" t="str">
        <x:v>未执行</x:v>
      </x:c>
      <x:c r="K125" s="11" t="str"/>
      <x:c r="L125" s="11" t="str"/>
      <x:c r="M125" s="11" t="str"/>
      <x:c r="N125" s="12"/>
      <x:c r="O125" s="11" t="str"/>
    </x:row>
    <x:row r="126" ht="39.599998474121094" hidden="0" customHeight="1">
      <x:c r="A126" s="10" t="str">
        <x:v>ASSET-015</x:v>
      </x:c>
      <x:c r="B126" s="10" t="str">
        <x:v>04 文件与索引</x:v>
      </x:c>
      <x:c r="C126" s="10" t="str">
        <x:v>知识资料上传、索引与切分</x:v>
      </x:c>
      <x:c r="D126" s="10" t="str">
        <x:v>P1</x:v>
      </x:c>
      <x:c r="E126" s="10" t="str">
        <x:v>切分边界</x:v>
      </x:c>
      <x:c r="F126" s="10" t="str">
        <x:v>P1/P2；fixtures 中的业务、冲突、长文与隔离资料；真实存储和生产检索配置</x:v>
      </x:c>
      <x:c r="G126" s="10" t="str">
        <x:v>chunkSize 399/400/4000/4001
overlap=-1/0/size-1/size</x:v>
      </x:c>
      <x:c r="H126" s="10" t="str">
        <x:v>非法值后端拒绝
合法边界正常</x:v>
      </x:c>
      <x:c r="I126" s="10" t="str">
        <x:v>截图或录屏、脱敏请求响应、对象 ID、时间及相关日志</x:v>
      </x:c>
      <x:c r="J126" s="11" t="str">
        <x:v>未执行</x:v>
      </x:c>
      <x:c r="K126" s="11" t="str"/>
      <x:c r="L126" s="11" t="str"/>
      <x:c r="M126" s="11" t="str"/>
      <x:c r="N126" s="12"/>
      <x:c r="O126" s="11" t="str"/>
    </x:row>
    <x:row r="127" ht="52.79999923706055" hidden="0" customHeight="1">
      <x:c r="A127" s="10" t="str">
        <x:v>ASSET-016</x:v>
      </x:c>
      <x:c r="B127" s="10" t="str">
        <x:v>04 文件与索引</x:v>
      </x:c>
      <x:c r="C127" s="10" t="str">
        <x:v>知识资料上传、索引与切分</x:v>
      </x:c>
      <x:c r="D127" s="10" t="str">
        <x:v>P1</x:v>
      </x:c>
      <x:c r="E127" s="10" t="str">
        <x:v>切分保存生效时机</x:v>
      </x:c>
      <x:c r="F127" s="10" t="str">
        <x:v>P1/P2；fixtures 中的业务、冲突、长文与隔离资料；真实存储和生产检索配置</x:v>
      </x:c>
      <x:c r="G127" s="10" t="str">
        <x:v>先索引资料
修改配置
检查旧块
再显式重索引</x:v>
      </x:c>
      <x:c r="H127" s="10" t="str">
        <x:v>旧索引不会默默更改
重索引使用新配置
引用失效策略明确</x:v>
      </x:c>
      <x:c r="I127" s="10" t="str">
        <x:v>截图或录屏、脱敏请求响应、对象 ID、时间及相关日志</x:v>
      </x:c>
      <x:c r="J127" s="11" t="str">
        <x:v>未执行</x:v>
      </x:c>
      <x:c r="K127" s="11" t="str"/>
      <x:c r="L127" s="11" t="str"/>
      <x:c r="M127" s="11" t="str"/>
      <x:c r="N127" s="12"/>
      <x:c r="O127" s="11" t="str"/>
    </x:row>
    <x:row r="128" ht="66" hidden="0" customHeight="1">
      <x:c r="A128" s="10" t="str">
        <x:v>ASSET-017</x:v>
      </x:c>
      <x:c r="B128" s="10" t="str">
        <x:v>04 文件与索引</x:v>
      </x:c>
      <x:c r="C128" s="10" t="str">
        <x:v>知识资料上传、索引与切分</x:v>
      </x:c>
      <x:c r="D128" s="10" t="str">
        <x:v>P0</x:v>
      </x:c>
      <x:c r="E128" s="10" t="str">
        <x:v>资产详情与片段</x:v>
      </x:c>
      <x:c r="F128" s="10" t="str">
        <x:v>P1/P2；fixtures 中的业务、冲突、长文与隔离资料；真实存储和生产检索配置</x:v>
      </x:c>
      <x:c r="G128" s="10" t="str">
        <x:v>打开详情
翻页
选择 Chunk
展开原文
复制 Chunk ID</x:v>
      </x:c>
      <x:c r="H128" s="10" t="str">
        <x:v>内容、页码、章节、总量与来源一致
没有缺段或错页</x:v>
      </x:c>
      <x:c r="I128" s="10" t="str">
        <x:v>截图或录屏、脱敏请求响应、对象 ID、时间及相关日志</x:v>
      </x:c>
      <x:c r="J128" s="11" t="str">
        <x:v>未执行</x:v>
      </x:c>
      <x:c r="K128" s="11" t="str"/>
      <x:c r="L128" s="11" t="str"/>
      <x:c r="M128" s="11" t="str"/>
      <x:c r="N128" s="12"/>
      <x:c r="O128" s="11" t="str"/>
    </x:row>
    <x:row r="129" ht="39.599998474121094" hidden="0" customHeight="1">
      <x:c r="A129" s="10" t="str">
        <x:v>ASSET-018</x:v>
      </x:c>
      <x:c r="B129" s="10" t="str">
        <x:v>04 文件与索引</x:v>
      </x:c>
      <x:c r="C129" s="10" t="str">
        <x:v>知识资料上传、索引与切分</x:v>
      </x:c>
      <x:c r="D129" s="10" t="str">
        <x:v>P1</x:v>
      </x:c>
      <x:c r="E129" s="10" t="str">
        <x:v>原文下载和定位</x:v>
      </x:c>
      <x:c r="F129" s="10" t="str">
        <x:v>P1/P2；fixtures 中的业务、冲突、长文与隔离资料；真实存储和生产检索配置</x:v>
      </x:c>
      <x:c r="G129" s="10" t="str">
        <x:v>下载原文件并比对
从引用参数打开具体 Chunk/页码</x:v>
      </x:c>
      <x:c r="H129" s="10" t="str">
        <x:v>下载内容一致
跳转定位准确
有效 Content-Type</x:v>
      </x:c>
      <x:c r="I129" s="10" t="str">
        <x:v>截图或录屏、脱敏请求响应、对象 ID、时间及相关日志</x:v>
      </x:c>
      <x:c r="J129" s="11" t="str">
        <x:v>未执行</x:v>
      </x:c>
      <x:c r="K129" s="11" t="str"/>
      <x:c r="L129" s="11" t="str"/>
      <x:c r="M129" s="11" t="str"/>
      <x:c r="N129" s="12"/>
      <x:c r="O129" s="11" t="str"/>
    </x:row>
    <x:row r="130" ht="39.599998474121094" hidden="0" customHeight="1">
      <x:c r="A130" s="10" t="str">
        <x:v>ASSET-019</x:v>
      </x:c>
      <x:c r="B130" s="10" t="str">
        <x:v>04 文件与索引</x:v>
      </x:c>
      <x:c r="C130" s="10" t="str">
        <x:v>知识资料上传、索引与切分</x:v>
      </x:c>
      <x:c r="D130" s="10" t="str">
        <x:v>P0</x:v>
      </x:c>
      <x:c r="E130" s="10" t="str">
        <x:v>资产删除全链路</x:v>
      </x:c>
      <x:c r="F130" s="10" t="str">
        <x:v>P1/P2；fixtures 中的业务、冲突、长文与隔离资料；真实存储和生产检索配置</x:v>
      </x:c>
      <x:c r="G130" s="10" t="str">
        <x:v>删仅 QA 资料
查数据库、MinIO、Milvus、关键词召回与缓存</x:v>
      </x:c>
      <x:c r="H130" s="10" t="str">
        <x:v>不可再检索/下载
配额按策略释放
不跨项目删除</x:v>
      </x:c>
      <x:c r="I130" s="10" t="str">
        <x:v>截图或录屏、脱敏请求响应、对象 ID、时间及相关日志</x:v>
      </x:c>
      <x:c r="J130" s="11" t="str">
        <x:v>未执行</x:v>
      </x:c>
      <x:c r="K130" s="11" t="str"/>
      <x:c r="L130" s="11" t="str"/>
      <x:c r="M130" s="11" t="str"/>
      <x:c r="N130" s="12"/>
      <x:c r="O130" s="11" t="str"/>
    </x:row>
    <x:row r="131" ht="39.599998474121094" hidden="0" customHeight="1">
      <x:c r="A131" s="10" t="str">
        <x:v>ASSET-020</x:v>
      </x:c>
      <x:c r="B131" s="10" t="str">
        <x:v>04 文件与索引</x:v>
      </x:c>
      <x:c r="C131" s="10" t="str">
        <x:v>知识资料上传、索引与切分</x:v>
      </x:c>
      <x:c r="D131" s="10" t="str">
        <x:v>P1</x:v>
      </x:c>
      <x:c r="E131" s="10" t="str">
        <x:v>并发与晚到回调</x:v>
      </x:c>
      <x:c r="F131" s="10" t="str">
        <x:v>P1/P2；fixtures 中的业务、冲突、长文与隔离资料；真实存储和生产检索配置</x:v>
      </x:c>
      <x:c r="G131" s="10" t="str">
        <x:v>QA 资料正在重索引时删除或重复重索引
检查晚到结果</x:v>
      </x:c>
      <x:c r="H131" s="10" t="str">
        <x:v>已删资产不复活
无重复 chunk/向量
失败不污染其他资料</x:v>
      </x:c>
      <x:c r="I131" s="10" t="str">
        <x:v>截图或录屏、脱敏请求响应、对象 ID、时间及相关日志</x:v>
      </x:c>
      <x:c r="J131" s="11" t="str">
        <x:v>未执行</x:v>
      </x:c>
      <x:c r="K131" s="11" t="str"/>
      <x:c r="L131" s="11" t="str"/>
      <x:c r="M131" s="11" t="str"/>
      <x:c r="N131" s="12"/>
      <x:c r="O131" s="11" t="str"/>
    </x:row>
    <x:row r="132" ht="26.399999618530273" hidden="0" customHeight="1">
      <x:c r="A132" s="10" t="str">
        <x:v>LIB-001</x:v>
      </x:c>
      <x:c r="B132" s="10" t="str">
        <x:v>04 文件与索引</x:v>
      </x:c>
      <x:c r="C132" s="10" t="str">
        <x:v>文件库与预览</x:v>
      </x:c>
      <x:c r="D132" s="10" t="str">
        <x:v>P1</x:v>
      </x:c>
      <x:c r="E132" s="10" t="str">
        <x:v>文件库来源汇总</x:v>
      </x:c>
      <x:c r="F132" s="10" t="str">
        <x:v>P1；知识资产与会话附件各一组；图片、PDF、音频、视频等原生文件</x:v>
      </x:c>
      <x:c r="G132" s="10" t="str">
        <x:v>分别上传知识资料和 Agent 附件
打开文件库</x:v>
      </x:c>
      <x:c r="H132" s="10" t="str">
        <x:v>来源类型和归属准确
文件数/大小反映真实对象</x:v>
      </x:c>
      <x:c r="I132" s="10" t="str">
        <x:v>截图或录屏、脱敏请求响应、对象 ID、时间及相关日志</x:v>
      </x:c>
      <x:c r="J132" s="11" t="str">
        <x:v>未执行</x:v>
      </x:c>
      <x:c r="K132" s="11" t="str"/>
      <x:c r="L132" s="11" t="str"/>
      <x:c r="M132" s="11" t="str"/>
      <x:c r="N132" s="12"/>
      <x:c r="O132" s="11" t="str"/>
    </x:row>
    <x:row r="133" ht="26.399999618530273" hidden="0" customHeight="1">
      <x:c r="A133" s="10" t="str">
        <x:v>LIB-002</x:v>
      </x:c>
      <x:c r="B133" s="10" t="str">
        <x:v>04 文件与索引</x:v>
      </x:c>
      <x:c r="C133" s="10" t="str">
        <x:v>文件库与预览</x:v>
      </x:c>
      <x:c r="D133" s="10" t="str">
        <x:v>P1</x:v>
      </x:c>
      <x:c r="E133" s="10" t="str">
        <x:v>文件搜索与类型</x:v>
      </x:c>
      <x:c r="F133" s="10" t="str">
        <x:v>P1；知识资产与会话附件各一组；图片、PDF、音频、视频等原生文件</x:v>
      </x:c>
      <x:c r="G133" s="10" t="str">
        <x:v>搜索中文/长文件名
切换类型/来源筛选</x:v>
      </x:c>
      <x:c r="H133" s="10" t="str">
        <x:v>匹配准确
没有重复对象或错误项目文件</x:v>
      </x:c>
      <x:c r="I133" s="10" t="str">
        <x:v>截图或录屏、脱敏请求响应、对象 ID、时间及相关日志</x:v>
      </x:c>
      <x:c r="J133" s="11" t="str">
        <x:v>未执行</x:v>
      </x:c>
      <x:c r="K133" s="11" t="str"/>
      <x:c r="L133" s="11" t="str"/>
      <x:c r="M133" s="11" t="str"/>
      <x:c r="N133" s="12"/>
      <x:c r="O133" s="11" t="str"/>
    </x:row>
    <x:row r="134" ht="39.599998474121094" hidden="0" customHeight="1">
      <x:c r="A134" s="10" t="str">
        <x:v>LIB-003</x:v>
      </x:c>
      <x:c r="B134" s="10" t="str">
        <x:v>04 文件与索引</x:v>
      </x:c>
      <x:c r="C134" s="10" t="str">
        <x:v>文件库与预览</x:v>
      </x:c>
      <x:c r="D134" s="10" t="str">
        <x:v>P1</x:v>
      </x:c>
      <x:c r="E134" s="10" t="str">
        <x:v>文本与 PDF 预览</x:v>
      </x:c>
      <x:c r="F134" s="10" t="str">
        <x:v>P1；知识资产与会话附件各一组；图片、PDF、音频、视频等原生文件</x:v>
      </x:c>
      <x:c r="G134" s="10" t="str">
        <x:v>打开可读文档预览
分页
关闭后换另一文件</x:v>
      </x:c>
      <x:c r="H134" s="10" t="str">
        <x:v>内容和页码正确
无旧预览残留</x:v>
      </x:c>
      <x:c r="I134" s="10" t="str">
        <x:v>截图或录屏、脱敏请求响应、对象 ID、时间及相关日志</x:v>
      </x:c>
      <x:c r="J134" s="11" t="str">
        <x:v>未执行</x:v>
      </x:c>
      <x:c r="K134" s="11" t="str"/>
      <x:c r="L134" s="11" t="str"/>
      <x:c r="M134" s="11" t="str"/>
      <x:c r="N134" s="12"/>
      <x:c r="O134" s="11" t="str"/>
    </x:row>
    <x:row r="135" ht="39.599998474121094" hidden="0" customHeight="1">
      <x:c r="A135" s="10" t="str">
        <x:v>LIB-004</x:v>
      </x:c>
      <x:c r="B135" s="10" t="str">
        <x:v>04 文件与索引</x:v>
      </x:c>
      <x:c r="C135" s="10" t="str">
        <x:v>文件库与预览</x:v>
      </x:c>
      <x:c r="D135" s="10" t="str">
        <x:v>P1</x:v>
      </x:c>
      <x:c r="E135" s="10" t="str">
        <x:v>图片预览</x:v>
      </x:c>
      <x:c r="F135" s="10" t="str">
        <x:v>P1；知识资产与会话附件各一组；图片、PDF、音频、视频等原生文件</x:v>
      </x:c>
      <x:c r="G135" s="10" t="str">
        <x:v>点击图片、放大/关闭
再打开另一图片</x:v>
      </x:c>
      <x:c r="H135" s="10" t="str">
        <x:v>显示真实图片
加载失败有提示
不误把文档当图片</x:v>
      </x:c>
      <x:c r="I135" s="10" t="str">
        <x:v>截图或录屏、脱敏请求响应、对象 ID、时间及相关日志</x:v>
      </x:c>
      <x:c r="J135" s="11" t="str">
        <x:v>未执行</x:v>
      </x:c>
      <x:c r="K135" s="11" t="str"/>
      <x:c r="L135" s="11" t="str"/>
      <x:c r="M135" s="11" t="str"/>
      <x:c r="N135" s="12"/>
      <x:c r="O135" s="11" t="str"/>
    </x:row>
    <x:row r="136" ht="39.599998474121094" hidden="0" customHeight="1">
      <x:c r="A136" s="10" t="str">
        <x:v>LIB-005</x:v>
      </x:c>
      <x:c r="B136" s="10" t="str">
        <x:v>04 文件与索引</x:v>
      </x:c>
      <x:c r="C136" s="10" t="str">
        <x:v>文件库与预览</x:v>
      </x:c>
      <x:c r="D136" s="10" t="str">
        <x:v>P1</x:v>
      </x:c>
      <x:c r="E136" s="10" t="str">
        <x:v>音视频预览</x:v>
      </x:c>
      <x:c r="F136" s="10" t="str">
        <x:v>P1；知识资产与会话附件各一组；图片、PDF、音频、视频等原生文件</x:v>
      </x:c>
      <x:c r="G136" s="10" t="str">
        <x:v>播放、暂停、拖动测试音视频
切换文件</x:v>
      </x:c>
      <x:c r="H136" s="10" t="str">
        <x:v>媒体可播放
范围请求/类型正确
切换释放上个媒体</x:v>
      </x:c>
      <x:c r="I136" s="10" t="str">
        <x:v>截图或录屏、脱敏请求响应、对象 ID、时间及相关日志</x:v>
      </x:c>
      <x:c r="J136" s="11" t="str">
        <x:v>未执行</x:v>
      </x:c>
      <x:c r="K136" s="11" t="str"/>
      <x:c r="L136" s="11" t="str"/>
      <x:c r="M136" s="11" t="str"/>
      <x:c r="N136" s="12"/>
      <x:c r="O136" s="11" t="str"/>
    </x:row>
    <x:row r="137" ht="26.399999618530273" hidden="0" customHeight="1">
      <x:c r="A137" s="10" t="str">
        <x:v>LIB-006</x:v>
      </x:c>
      <x:c r="B137" s="10" t="str">
        <x:v>04 文件与索引</x:v>
      </x:c>
      <x:c r="C137" s="10" t="str">
        <x:v>文件库与预览</x:v>
      </x:c>
      <x:c r="D137" s="10" t="str">
        <x:v>P1</x:v>
      </x:c>
      <x:c r="E137" s="10" t="str">
        <x:v>不支持与损坏文件</x:v>
      </x:c>
      <x:c r="F137" s="10" t="str">
        <x:v>P1；知识资产与会话附件各一组；图片、PDF、音频、视频等原生文件</x:v>
      </x:c>
      <x:c r="G137" s="10" t="str">
        <x:v>选择无法预览或损坏文件</x:v>
      </x:c>
      <x:c r="H137" s="10" t="str">
        <x:v>显示明确限制/下载入口
不无限加载</x:v>
      </x:c>
      <x:c r="I137" s="10" t="str">
        <x:v>截图或录屏、脱敏请求响应、对象 ID、时间及相关日志</x:v>
      </x:c>
      <x:c r="J137" s="11" t="str">
        <x:v>未执行</x:v>
      </x:c>
      <x:c r="K137" s="11" t="str"/>
      <x:c r="L137" s="11" t="str"/>
      <x:c r="M137" s="11" t="str"/>
      <x:c r="N137" s="12"/>
      <x:c r="O137" s="11" t="str"/>
    </x:row>
    <x:row r="138" ht="39.599998474121094" hidden="0" customHeight="1">
      <x:c r="A138" s="10" t="str">
        <x:v>LIB-007</x:v>
      </x:c>
      <x:c r="B138" s="10" t="str">
        <x:v>04 文件与索引</x:v>
      </x:c>
      <x:c r="C138" s="10" t="str">
        <x:v>文件库与预览</x:v>
      </x:c>
      <x:c r="D138" s="10" t="str">
        <x:v>P0</x:v>
      </x:c>
      <x:c r="E138" s="10" t="str">
        <x:v>附件原文下载</x:v>
      </x:c>
      <x:c r="F138" s="10" t="str">
        <x:v>P1；知识资产与会话附件各一组；图片、PDF、音频、视频等原生文件</x:v>
      </x:c>
      <x:c r="G138" s="10" t="str">
        <x:v>从文件库下载会话附件并比对校验和</x:v>
      </x:c>
      <x:c r="H138" s="10" t="str">
        <x:v>内容一致
授权校验在服务端
不泄露签名凭据</x:v>
      </x:c>
      <x:c r="I138" s="10" t="str">
        <x:v>截图或录屏、脱敏请求响应、对象 ID、时间及相关日志</x:v>
      </x:c>
      <x:c r="J138" s="11" t="str">
        <x:v>未执行</x:v>
      </x:c>
      <x:c r="K138" s="11" t="str"/>
      <x:c r="L138" s="11" t="str"/>
      <x:c r="M138" s="11" t="str"/>
      <x:c r="N138" s="12"/>
      <x:c r="O138" s="11" t="str"/>
    </x:row>
    <x:row r="139" ht="39.599998474121094" hidden="0" customHeight="1">
      <x:c r="A139" s="10" t="str">
        <x:v>LIB-008</x:v>
      </x:c>
      <x:c r="B139" s="10" t="str">
        <x:v>04 文件与索引</x:v>
      </x:c>
      <x:c r="C139" s="10" t="str">
        <x:v>文件库与预览</x:v>
      </x:c>
      <x:c r="D139" s="10" t="str">
        <x:v>P1</x:v>
      </x:c>
      <x:c r="E139" s="10" t="str">
        <x:v>文件库选择进对话</x:v>
      </x:c>
      <x:c r="F139" s="10" t="str">
        <x:v>P1；知识资产与会话附件各一组；图片、PDF、音频、视频等原生文件</x:v>
      </x:c>
      <x:c r="G139" s="10" t="str">
        <x:v>在 Agent 选择已有文件，多选/取消再确认</x:v>
      </x:c>
      <x:c r="H139" s="10" t="str">
        <x:v>只有选中项加入
无重复上传
提交后关联正确</x:v>
      </x:c>
      <x:c r="I139" s="10" t="str">
        <x:v>截图或录屏、脱敏请求响应、对象 ID、时间及相关日志</x:v>
      </x:c>
      <x:c r="J139" s="11" t="str">
        <x:v>未执行</x:v>
      </x:c>
      <x:c r="K139" s="11" t="str"/>
      <x:c r="L139" s="11" t="str"/>
      <x:c r="M139" s="11" t="str"/>
      <x:c r="N139" s="12"/>
      <x:c r="O139" s="11" t="str"/>
    </x:row>
    <x:row r="140" ht="26.399999618530273" hidden="0" customHeight="1">
      <x:c r="A140" s="10" t="str">
        <x:v>RAG-001</x:v>
      </x:c>
      <x:c r="B140" s="10" t="str">
        <x:v>05 检索</x:v>
      </x:c>
      <x:c r="C140" s="10" t="str">
        <x:v>检索与知识问答</x:v>
      </x:c>
      <x:c r="D140" s="10" t="str">
        <x:v>P0</x:v>
      </x:c>
      <x:c r="E140" s="10" t="str">
        <x:v>关键词检索</x:v>
      </x:c>
      <x:c r="F140" s="10" t="str">
        <x:v>P1 的业务资料已成功索引；P2/QA-B 有不同唯一标记；准备标准答案</x:v>
      </x:c>
      <x:c r="G140" s="10" t="str">
        <x:v>KEYWORD 查“峰值 QPS”和业务唯一标记</x:v>
      </x:c>
      <x:c r="H140" s="10" t="str">
        <x:v>目标原文进入结果
关键词分数和来源可查</x:v>
      </x:c>
      <x:c r="I140" s="10" t="str">
        <x:v>截图或录屏、脱敏请求响应、对象 ID、时间及相关日志</x:v>
      </x:c>
      <x:c r="J140" s="11" t="str">
        <x:v>未执行</x:v>
      </x:c>
      <x:c r="K140" s="11" t="str"/>
      <x:c r="L140" s="11" t="str"/>
      <x:c r="M140" s="11" t="str"/>
      <x:c r="N140" s="12"/>
      <x:c r="O140" s="11" t="str"/>
    </x:row>
    <x:row r="141" ht="26.399999618530273" hidden="0" customHeight="1">
      <x:c r="A141" s="10" t="str">
        <x:v>RAG-002</x:v>
      </x:c>
      <x:c r="B141" s="10" t="str">
        <x:v>05 检索</x:v>
      </x:c>
      <x:c r="C141" s="10" t="str">
        <x:v>检索与知识问答</x:v>
      </x:c>
      <x:c r="D141" s="10" t="str">
        <x:v>P0</x:v>
      </x:c>
      <x:c r="E141" s="10" t="str">
        <x:v>真实向量检索</x:v>
      </x:c>
      <x:c r="F141" s="10" t="str">
        <x:v>P1 的业务资料已成功索引；P2/QA-B 有不同唯一标记；准备标准答案</x:v>
      </x:c>
      <x:c r="G141" s="10" t="str">
        <x:v>VECTOR 用“最高负载每秒要处理多少请求”语义改写查询</x:v>
      </x:c>
      <x:c r="H141" s="10" t="str">
        <x:v>目标 QPS 资料可召回
使用真实 Embedding 配置</x:v>
      </x:c>
      <x:c r="I141" s="10" t="str">
        <x:v>截图或录屏、脱敏请求响应、对象 ID、时间及相关日志</x:v>
      </x:c>
      <x:c r="J141" s="11" t="str">
        <x:v>未执行</x:v>
      </x:c>
      <x:c r="K141" s="11" t="str"/>
      <x:c r="L141" s="11" t="str"/>
      <x:c r="M141" s="11" t="str"/>
      <x:c r="N141" s="12"/>
      <x:c r="O141" s="11" t="str"/>
    </x:row>
    <x:row r="142" ht="26.399999618530273" hidden="0" customHeight="1">
      <x:c r="A142" s="10" t="str">
        <x:v>RAG-003</x:v>
      </x:c>
      <x:c r="B142" s="10" t="str">
        <x:v>05 检索</x:v>
      </x:c>
      <x:c r="C142" s="10" t="str">
        <x:v>检索与知识问答</x:v>
      </x:c>
      <x:c r="D142" s="10" t="str">
        <x:v>P0</x:v>
      </x:c>
      <x:c r="E142" s="10" t="str">
        <x:v>混合检索</x:v>
      </x:c>
      <x:c r="F142" s="10" t="str">
        <x:v>P1 的业务资料已成功索引；P2/QA-B 有不同唯一标记；准备标准答案</x:v>
      </x:c>
      <x:c r="G142" s="10" t="str">
        <x:v>HYBRID 运行同一查询
查看 vector/keyword/fusion/rerank 分数</x:v>
      </x:c>
      <x:c r="H142" s="10" t="str">
        <x:v>融合候选真实
证据内容和项目归属正确</x:v>
      </x:c>
      <x:c r="I142" s="10" t="str">
        <x:v>截图或录屏、脱敏请求响应、对象 ID、时间及相关日志</x:v>
      </x:c>
      <x:c r="J142" s="11" t="str">
        <x:v>未执行</x:v>
      </x:c>
      <x:c r="K142" s="11" t="str"/>
      <x:c r="L142" s="11" t="str"/>
      <x:c r="M142" s="11" t="str"/>
      <x:c r="N142" s="12"/>
      <x:c r="O142" s="11" t="str"/>
    </x:row>
    <x:row r="143" ht="26.399999618530273" hidden="0" customHeight="1">
      <x:c r="A143" s="10" t="str">
        <x:v>RAG-004</x:v>
      </x:c>
      <x:c r="B143" s="10" t="str">
        <x:v>05 检索</x:v>
      </x:c>
      <x:c r="C143" s="10" t="str">
        <x:v>检索与知识问答</x:v>
      </x:c>
      <x:c r="D143" s="10" t="str">
        <x:v>P1</x:v>
      </x:c>
      <x:c r="E143" s="10" t="str">
        <x:v>中文短词与实体</x:v>
      </x:c>
      <x:c r="F143" s="10" t="str">
        <x:v>P1 的业务资料已成功索引；P2/QA-B 有不同唯一标记；准备标准答案</x:v>
      </x:c>
      <x:c r="G143" s="10" t="str">
        <x:v>查询中文实体、2/3 字关键词、中英混合与长问题</x:v>
      </x:c>
      <x:c r="H143" s="10" t="str">
        <x:v>召回相关资料
不将乱码当匹配</x:v>
      </x:c>
      <x:c r="I143" s="10" t="str">
        <x:v>截图或录屏、脱敏请求响应、对象 ID、时间及相关日志</x:v>
      </x:c>
      <x:c r="J143" s="11" t="str">
        <x:v>未执行</x:v>
      </x:c>
      <x:c r="K143" s="11" t="str"/>
      <x:c r="L143" s="11" t="str"/>
      <x:c r="M143" s="11" t="str"/>
      <x:c r="N143" s="12"/>
      <x:c r="O143" s="11" t="str"/>
    </x:row>
    <x:row r="144" ht="39.599998474121094" hidden="0" customHeight="1">
      <x:c r="A144" s="10" t="str">
        <x:v>RAG-005</x:v>
      </x:c>
      <x:c r="B144" s="10" t="str">
        <x:v>05 检索</x:v>
      </x:c>
      <x:c r="C144" s="10" t="str">
        <x:v>检索与知识问答</x:v>
      </x:c>
      <x:c r="D144" s="10" t="str">
        <x:v>P1</x:v>
      </x:c>
      <x:c r="E144" s="10" t="str">
        <x:v>Top-K 与参数</x:v>
      </x:c>
      <x:c r="F144" s="10" t="str">
        <x:v>P1 的业务资料已成功索引；P2/QA-B 有不同唯一标记；准备标准答案</x:v>
      </x:c>
      <x:c r="G144" s="10" t="str">
        <x:v>测试 topK=1/5/20
candidateK、rankConstant、权重、diversityLambda、排序方式</x:v>
      </x:c>
      <x:c r="H144" s="10" t="str">
        <x:v>数量与约束正确
非法参数有错误
不返回无限结果</x:v>
      </x:c>
      <x:c r="I144" s="10" t="str">
        <x:v>截图或录屏、脱敏请求响应、对象 ID、时间及相关日志</x:v>
      </x:c>
      <x:c r="J144" s="11" t="str">
        <x:v>未执行</x:v>
      </x:c>
      <x:c r="K144" s="11" t="str"/>
      <x:c r="L144" s="11" t="str"/>
      <x:c r="M144" s="11" t="str"/>
      <x:c r="N144" s="12"/>
      <x:c r="O144" s="11" t="str"/>
    </x:row>
    <x:row r="145" ht="39.599998474121094" hidden="0" customHeight="1">
      <x:c r="A145" s="10" t="str">
        <x:v>RAG-006</x:v>
      </x:c>
      <x:c r="B145" s="10" t="str">
        <x:v>05 检索</x:v>
      </x:c>
      <x:c r="C145" s="10" t="str">
        <x:v>检索与知识问答</x:v>
      </x:c>
      <x:c r="D145" s="10" t="str">
        <x:v>P1</x:v>
      </x:c>
      <x:c r="E145" s="10" t="str">
        <x:v>融合三种方式</x:v>
      </x:c>
      <x:c r="F145" s="10" t="str">
        <x:v>P1 的业务资料已成功索引；P2/QA-B 有不同唯一标记；准备标准答案</x:v>
      </x:c>
      <x:c r="G145" s="10" t="str">
        <x:v>通过接口分别用 RRF、WEIGHTED_RRF、LINEAR
保留结果</x:v>
      </x:c>
      <x:c r="H145" s="10" t="str">
        <x:v>候选和分数可解释
排序与配置一致
无 NaN/Infinity</x:v>
      </x:c>
      <x:c r="I145" s="10" t="str">
        <x:v>截图或录屏、脱敏请求响应、对象 ID、时间及相关日志</x:v>
      </x:c>
      <x:c r="J145" s="11" t="str">
        <x:v>未执行</x:v>
      </x:c>
      <x:c r="K145" s="11" t="str"/>
      <x:c r="L145" s="11" t="str"/>
      <x:c r="M145" s="11" t="str"/>
      <x:c r="N145" s="12"/>
      <x:c r="O145" s="11" t="str"/>
    </x:row>
    <x:row r="146" ht="26.399999618530273" hidden="0" customHeight="1">
      <x:c r="A146" s="10" t="str">
        <x:v>RAG-007</x:v>
      </x:c>
      <x:c r="B146" s="10" t="str">
        <x:v>05 检索</x:v>
      </x:c>
      <x:c r="C146" s="10" t="str">
        <x:v>检索与知识问答</x:v>
      </x:c>
      <x:c r="D146" s="10" t="str">
        <x:v>P1</x:v>
      </x:c>
      <x:c r="E146" s="10" t="str">
        <x:v>重排开关</x:v>
      </x:c>
      <x:c r="F146" s="10" t="str">
        <x:v>P1 的业务资料已成功索引；P2/QA-B 有不同唯一标记；准备标准答案</x:v>
      </x:c>
      <x:c r="G146" s="10" t="str">
        <x:v>同一查询开启/关闭 reranker
比较前后 Top-K</x:v>
      </x:c>
      <x:c r="H146" s="10" t="str">
        <x:v>开关实际生效
轻量 lexical 重排不冒充模型重排</x:v>
      </x:c>
      <x:c r="I146" s="10" t="str">
        <x:v>截图或录屏、脱敏请求响应、对象 ID、时间及相关日志</x:v>
      </x:c>
      <x:c r="J146" s="11" t="str">
        <x:v>未执行</x:v>
      </x:c>
      <x:c r="K146" s="11" t="str"/>
      <x:c r="L146" s="11" t="str"/>
      <x:c r="M146" s="11" t="str"/>
      <x:c r="N146" s="12"/>
      <x:c r="O146" s="11" t="str"/>
    </x:row>
    <x:row r="147" ht="39.599998474121094" hidden="0" customHeight="1">
      <x:c r="A147" s="10" t="str">
        <x:v>RAG-008</x:v>
      </x:c>
      <x:c r="B147" s="10" t="str">
        <x:v>05 检索</x:v>
      </x:c>
      <x:c r="C147" s="10" t="str">
        <x:v>检索与知识问答</x:v>
      </x:c>
      <x:c r="D147" s="10" t="str">
        <x:v>P1</x:v>
      </x:c>
      <x:c r="E147" s="10" t="str">
        <x:v>查询改写与多样性</x:v>
      </x:c>
      <x:c r="F147" s="10" t="str">
        <x:v>P1 的业务资料已成功索引；P2/QA-B 有不同唯一标记；准备标准答案</x:v>
      </x:c>
      <x:c r="G147" s="10" t="str">
        <x:v>模糊问题与重复相邻块
查看 rewrittenQueries/searchTrace</x:v>
      </x:c>
      <x:c r="H147" s="10" t="str">
        <x:v>改写保留原意
重复有界
MMR 不把所有相关证据挤走</x:v>
      </x:c>
      <x:c r="I147" s="10" t="str">
        <x:v>截图或录屏、脱敏请求响应、对象 ID、时间及相关日志</x:v>
      </x:c>
      <x:c r="J147" s="11" t="str">
        <x:v>未执行</x:v>
      </x:c>
      <x:c r="K147" s="11" t="str"/>
      <x:c r="L147" s="11" t="str"/>
      <x:c r="M147" s="11" t="str"/>
      <x:c r="N147" s="12"/>
      <x:c r="O147" s="11" t="str"/>
    </x:row>
    <x:row r="148" ht="26.399999618530273" hidden="0" customHeight="1">
      <x:c r="A148" s="10" t="str">
        <x:v>RAG-009</x:v>
      </x:c>
      <x:c r="B148" s="10" t="str">
        <x:v>05 检索</x:v>
      </x:c>
      <x:c r="C148" s="10" t="str">
        <x:v>检索与知识问答</x:v>
      </x:c>
      <x:c r="D148" s="10" t="str">
        <x:v>P1</x:v>
      </x:c>
      <x:c r="E148" s="10" t="str">
        <x:v>来源筛选</x:v>
      </x:c>
      <x:c r="F148" s="10" t="str">
        <x:v>P1 的业务资料已成功索引；P2/QA-B 有不同唯一标记；准备标准答案</x:v>
      </x:c>
      <x:c r="G148" s="10" t="str">
        <x:v>按现有界面/API 支持的 asset、来源类型等过滤</x:v>
      </x:c>
      <x:c r="H148" s="10" t="str">
        <x:v>不满足过滤条件的候选不返回</x:v>
      </x:c>
      <x:c r="I148" s="10" t="str">
        <x:v>截图或录屏、脱敏请求响应、对象 ID、时间及相关日志</x:v>
      </x:c>
      <x:c r="J148" s="11" t="str">
        <x:v>未执行</x:v>
      </x:c>
      <x:c r="K148" s="11" t="str"/>
      <x:c r="L148" s="11" t="str"/>
      <x:c r="M148" s="11" t="str"/>
      <x:c r="N148" s="12"/>
      <x:c r="O148" s="11" t="str"/>
    </x:row>
    <x:row r="149" ht="39.599998474121094" hidden="0" customHeight="1">
      <x:c r="A149" s="10" t="str">
        <x:v>RAG-010</x:v>
      </x:c>
      <x:c r="B149" s="10" t="str">
        <x:v>05 检索</x:v>
      </x:c>
      <x:c r="C149" s="10" t="str">
        <x:v>检索与知识问答</x:v>
      </x:c>
      <x:c r="D149" s="10" t="str">
        <x:v>P0</x:v>
      </x:c>
      <x:c r="E149" s="10" t="str">
        <x:v>证据详情和跳转</x:v>
      </x:c>
      <x:c r="F149" s="10" t="str">
        <x:v>P1 的业务资料已成功索引；P2/QA-B 有不同唯一标记；准备标准答案</x:v>
      </x:c>
      <x:c r="G149" s="10" t="str">
        <x:v>选择排名
打开证据
跳入对应资产与 Chunk</x:v>
      </x:c>
      <x:c r="H149" s="10" t="str">
        <x:v>摘录、分数、文件、章节、页码一致</x:v>
      </x:c>
      <x:c r="I149" s="10" t="str">
        <x:v>截图或录屏、脱敏请求响应、对象 ID、时间及相关日志</x:v>
      </x:c>
      <x:c r="J149" s="11" t="str">
        <x:v>未执行</x:v>
      </x:c>
      <x:c r="K149" s="11" t="str"/>
      <x:c r="L149" s="11" t="str"/>
      <x:c r="M149" s="11" t="str"/>
      <x:c r="N149" s="12"/>
      <x:c r="O149" s="11" t="str"/>
    </x:row>
    <x:row r="150" ht="39.599998474121094" hidden="0" customHeight="1">
      <x:c r="A150" s="10" t="str">
        <x:v>RAG-011</x:v>
      </x:c>
      <x:c r="B150" s="10" t="str">
        <x:v>05 检索</x:v>
      </x:c>
      <x:c r="C150" s="10" t="str">
        <x:v>检索与知识问答</x:v>
      </x:c>
      <x:c r="D150" s="10" t="str">
        <x:v>P1</x:v>
      </x:c>
      <x:c r="E150" s="10" t="str">
        <x:v>无结果与空输入</x:v>
      </x:c>
      <x:c r="F150" s="10" t="str">
        <x:v>P1 的业务资料已成功索引；P2/QA-B 有不同唯一标记；准备标准答案</x:v>
      </x:c>
      <x:c r="G150" s="10" t="str">
        <x:v>查完全无关短语
提交空白/极长查询</x:v>
      </x:c>
      <x:c r="H150" s="10" t="str">
        <x:v>空结果清楚
非法输入拒绝
无演示证据</x:v>
      </x:c>
      <x:c r="I150" s="10" t="str">
        <x:v>截图或录屏、脱敏请求响应、对象 ID、时间及相关日志</x:v>
      </x:c>
      <x:c r="J150" s="11" t="str">
        <x:v>未执行</x:v>
      </x:c>
      <x:c r="K150" s="11" t="str"/>
      <x:c r="L150" s="11" t="str"/>
      <x:c r="M150" s="11" t="str"/>
      <x:c r="N150" s="12"/>
      <x:c r="O150" s="11" t="str"/>
    </x:row>
    <x:row r="151" ht="39.599998474121094" hidden="0" customHeight="1">
      <x:c r="A151" s="10" t="str">
        <x:v>RAG-012</x:v>
      </x:c>
      <x:c r="B151" s="10" t="str">
        <x:v>05 检索</x:v>
      </x:c>
      <x:c r="C151" s="10" t="str">
        <x:v>检索与知识问答</x:v>
      </x:c>
      <x:c r="D151" s="10" t="str">
        <x:v>P1</x:v>
      </x:c>
      <x:c r="E151" s="10" t="str">
        <x:v>检索错误与重试</x:v>
      </x:c>
      <x:c r="F151" s="10" t="str">
        <x:v>P1 的业务资料已成功索引；P2/QA-B 有不同唯一标记；准备标准答案</x:v>
      </x:c>
      <x:c r="G151" s="10" t="str">
        <x:v>中断 AI/检索依赖
观察错误
恢复点击重新检索</x:v>
      </x:c>
      <x:c r="H151" s="10" t="str">
        <x:v>错误不装成“没有资料”
恢复后有效结果可见</x:v>
      </x:c>
      <x:c r="I151" s="10" t="str">
        <x:v>截图或录屏、脱敏请求响应、对象 ID、时间及相关日志</x:v>
      </x:c>
      <x:c r="J151" s="11" t="str">
        <x:v>未执行</x:v>
      </x:c>
      <x:c r="K151" s="11" t="str"/>
      <x:c r="L151" s="11" t="str"/>
      <x:c r="M151" s="11" t="str"/>
      <x:c r="N151" s="12"/>
      <x:c r="O151" s="11" t="str"/>
    </x:row>
    <x:row r="152" ht="26.399999618530273" hidden="0" customHeight="1">
      <x:c r="A152" s="10" t="str">
        <x:v>RAG-013</x:v>
      </x:c>
      <x:c r="B152" s="10" t="str">
        <x:v>05 检索</x:v>
      </x:c>
      <x:c r="C152" s="10" t="str">
        <x:v>检索与知识问答</x:v>
      </x:c>
      <x:c r="D152" s="10" t="str">
        <x:v>P1</x:v>
      </x:c>
      <x:c r="E152" s="10" t="str">
        <x:v>保存为评估用例</x:v>
      </x:c>
      <x:c r="F152" s="10" t="str">
        <x:v>P1 的业务资料已成功索引；P2/QA-B 有不同唯一标记；准备标准答案</x:v>
      </x:c>
      <x:c r="G152" s="10" t="str">
        <x:v>从结果保存问题、目标资产/Chunk 到评估
返回 Playground</x:v>
      </x:c>
      <x:c r="H152" s="10" t="str">
        <x:v>保存关联正确
能回到原问题和参数</x:v>
      </x:c>
      <x:c r="I152" s="10" t="str">
        <x:v>截图或录屏、脱敏请求响应、对象 ID、时间及相关日志</x:v>
      </x:c>
      <x:c r="J152" s="11" t="str">
        <x:v>未执行</x:v>
      </x:c>
      <x:c r="K152" s="11" t="str"/>
      <x:c r="L152" s="11" t="str"/>
      <x:c r="M152" s="11" t="str"/>
      <x:c r="N152" s="12"/>
      <x:c r="O152" s="11" t="str"/>
    </x:row>
    <x:row r="153" ht="26.399999618530273" hidden="0" customHeight="1">
      <x:c r="A153" s="10" t="str">
        <x:v>RAG-014</x:v>
      </x:c>
      <x:c r="B153" s="10" t="str">
        <x:v>05 检索</x:v>
      </x:c>
      <x:c r="C153" s="10" t="str">
        <x:v>检索与知识问答</x:v>
      </x:c>
      <x:c r="D153" s="10" t="str">
        <x:v>P0</x:v>
      </x:c>
      <x:c r="E153" s="10" t="str">
        <x:v>知识问答正常</x:v>
      </x:c>
      <x:c r="F153" s="10" t="str">
        <x:v>P1 的业务资料已成功索引；P2/QA-B 有不同唯一标记；准备标准答案</x:v>
      </x:c>
      <x:c r="G153" s="10" t="str">
        <x:v>knowledge/answer 提问预算、周期、QPS、SLA
打开引用</x:v>
      </x:c>
      <x:c r="H153" s="10" t="str">
        <x:v>事实为 26 万元、6 周、12000 QPS、99.95%
引用可回到原文</x:v>
      </x:c>
      <x:c r="I153" s="10" t="str">
        <x:v>截图或录屏、脱敏请求响应、对象 ID、时间及相关日志</x:v>
      </x:c>
      <x:c r="J153" s="11" t="str">
        <x:v>未执行</x:v>
      </x:c>
      <x:c r="K153" s="11" t="str"/>
      <x:c r="L153" s="11" t="str"/>
      <x:c r="M153" s="11" t="str"/>
      <x:c r="N153" s="12"/>
      <x:c r="O153" s="11" t="str"/>
    </x:row>
    <x:row r="154" ht="26.399999618530273" hidden="0" customHeight="1">
      <x:c r="A154" s="10" t="str">
        <x:v>RAG-015</x:v>
      </x:c>
      <x:c r="B154" s="10" t="str">
        <x:v>05 检索</x:v>
      </x:c>
      <x:c r="C154" s="10" t="str">
        <x:v>检索与知识问答</x:v>
      </x:c>
      <x:c r="D154" s="10" t="str">
        <x:v>P0</x:v>
      </x:c>
      <x:c r="E154" s="10" t="str">
        <x:v>知识问答资料不足</x:v>
      </x:c>
      <x:c r="F154" s="10" t="str">
        <x:v>P1 的业务资料已成功索引；P2/QA-B 有不同唯一标记；准备标准答案</x:v>
      </x:c>
      <x:c r="G154" s="10" t="str">
        <x:v>询问文档没有的实际生产延迟或结果</x:v>
      </x:c>
      <x:c r="H154" s="10" t="str">
        <x:v>明确资料缺口
不伪造测量值或证据</x:v>
      </x:c>
      <x:c r="I154" s="10" t="str">
        <x:v>截图或录屏、脱敏请求响应、对象 ID、时间及相关日志</x:v>
      </x:c>
      <x:c r="J154" s="11" t="str">
        <x:v>未执行</x:v>
      </x:c>
      <x:c r="K154" s="11" t="str"/>
      <x:c r="L154" s="11" t="str"/>
      <x:c r="M154" s="11" t="str"/>
      <x:c r="N154" s="12"/>
      <x:c r="O154" s="11" t="str"/>
    </x:row>
    <x:row r="155" ht="26.399999618530273" hidden="0" customHeight="1">
      <x:c r="A155" s="10" t="str">
        <x:v>RAG-016</x:v>
      </x:c>
      <x:c r="B155" s="10" t="str">
        <x:v>05 检索</x:v>
      </x:c>
      <x:c r="C155" s="10" t="str">
        <x:v>检索与知识问答</x:v>
      </x:c>
      <x:c r="D155" s="10" t="str">
        <x:v>P0</x:v>
      </x:c>
      <x:c r="E155" s="10" t="str">
        <x:v>矛盾证据</x:v>
      </x:c>
      <x:c r="F155" s="10" t="str">
        <x:v>P1 的业务资料已成功索引；P2/QA-B 有不同唯一标记；准备标准答案</x:v>
      </x:c>
      <x:c r="G155" s="10" t="str">
        <x:v>上传旧版 32 万预算与新版 26 万
询问预算</x:v>
      </x:c>
      <x:c r="H155" s="10" t="str">
        <x:v>保留冲突、版本日期与限制
不未经说明合并</x:v>
      </x:c>
      <x:c r="I155" s="10" t="str">
        <x:v>截图或录屏、脱敏请求响应、对象 ID、时间及相关日志</x:v>
      </x:c>
      <x:c r="J155" s="11" t="str">
        <x:v>未执行</x:v>
      </x:c>
      <x:c r="K155" s="11" t="str"/>
      <x:c r="L155" s="11" t="str"/>
      <x:c r="M155" s="11" t="str"/>
      <x:c r="N155" s="12"/>
      <x:c r="O155" s="11" t="str"/>
    </x:row>
    <x:row r="156" ht="26.399999618530273" hidden="0" customHeight="1">
      <x:c r="A156" s="10" t="str">
        <x:v>RAG-017</x:v>
      </x:c>
      <x:c r="B156" s="10" t="str">
        <x:v>05 检索</x:v>
      </x:c>
      <x:c r="C156" s="10" t="str">
        <x:v>检索与知识问答</x:v>
      </x:c>
      <x:c r="D156" s="10" t="str">
        <x:v>P0</x:v>
      </x:c>
      <x:c r="E156" s="10" t="str">
        <x:v>租户与项目隔离</x:v>
      </x:c>
      <x:c r="F156" s="10" t="str">
        <x:v>P1 的业务资料已成功索引；P2/QA-B 有不同唯一标记；准备标准答案</x:v>
      </x:c>
      <x:c r="G156" s="10" t="str">
        <x:v>P1 查询 P2/QA-B 唯一标记
VECTOR/KEYWORD/HYBRID 与缓存重复查询</x:v>
      </x:c>
      <x:c r="H156" s="10" t="str">
        <x:v>三种方式均不可读其他范围资料</x:v>
      </x:c>
      <x:c r="I156" s="10" t="str">
        <x:v>截图或录屏、脱敏请求响应、对象 ID、时间及相关日志</x:v>
      </x:c>
      <x:c r="J156" s="11" t="str">
        <x:v>未执行</x:v>
      </x:c>
      <x:c r="K156" s="11" t="str"/>
      <x:c r="L156" s="11" t="str"/>
      <x:c r="M156" s="11" t="str"/>
      <x:c r="N156" s="12"/>
      <x:c r="O156" s="11" t="str"/>
    </x:row>
    <x:row r="157" ht="26.399999618530273" hidden="0" customHeight="1">
      <x:c r="A157" s="10" t="str">
        <x:v>RAG-018</x:v>
      </x:c>
      <x:c r="B157" s="10" t="str">
        <x:v>05 检索</x:v>
      </x:c>
      <x:c r="C157" s="10" t="str">
        <x:v>检索与知识问答</x:v>
      </x:c>
      <x:c r="D157" s="10" t="str">
        <x:v>P1</x:v>
      </x:c>
      <x:c r="E157" s="10" t="str">
        <x:v>图谱搜索</x:v>
      </x:c>
      <x:c r="F157" s="10" t="str">
        <x:v>P1 的业务资料已成功索引；P2/QA-B 有不同唯一标记；准备标准答案</x:v>
      </x:c>
      <x:c r="G157" s="10" t="str">
        <x:v>在 memory 与拟交付 Neo4j 模式建实体关系后 search_graph</x:v>
      </x:c>
      <x:c r="H157" s="10" t="str">
        <x:v>实体、边、来源范围正确
无图谱时给真实空结果/限制</x:v>
      </x:c>
      <x:c r="I157" s="10" t="str">
        <x:v>截图或录屏、脱敏请求响应、对象 ID、时间及相关日志</x:v>
      </x:c>
      <x:c r="J157" s="11" t="str">
        <x:v>未执行</x:v>
      </x:c>
      <x:c r="K157" s="11" t="str"/>
      <x:c r="L157" s="11" t="str"/>
      <x:c r="M157" s="11" t="str"/>
      <x:c r="N157" s="12"/>
      <x:c r="O157" s="11" t="str"/>
    </x:row>
    <x:row r="158" ht="39.599998474121094" hidden="0" customHeight="1">
      <x:c r="A158" s="10" t="str">
        <x:v>RAG-019</x:v>
      </x:c>
      <x:c r="B158" s="10" t="str">
        <x:v>05 检索</x:v>
      </x:c>
      <x:c r="C158" s="10" t="str">
        <x:v>检索与知识问答</x:v>
      </x:c>
      <x:c r="D158" s="10" t="str">
        <x:v>P0</x:v>
      </x:c>
      <x:c r="E158" s="10" t="str">
        <x:v>索引更新与缓存失效</x:v>
      </x:c>
      <x:c r="F158" s="10" t="str">
        <x:v>P1 的业务资料已成功索引；P2/QA-B 有不同唯一标记；准备标准答案</x:v>
      </x:c>
      <x:c r="G158" s="10" t="str">
        <x:v>先检索
更新/重索引或删除源资料
立即再检索</x:v>
      </x:c>
      <x:c r="H158" s="10" t="str">
        <x:v>新版本可见
已删除旧证据不从缓存复活</x:v>
      </x:c>
      <x:c r="I158" s="10" t="str">
        <x:v>截图或录屏、脱敏请求响应、对象 ID、时间及相关日志</x:v>
      </x:c>
      <x:c r="J158" s="11" t="str">
        <x:v>未执行</x:v>
      </x:c>
      <x:c r="K158" s="11" t="str"/>
      <x:c r="L158" s="11" t="str"/>
      <x:c r="M158" s="11" t="str"/>
      <x:c r="N158" s="12"/>
      <x:c r="O158" s="11" t="str"/>
    </x:row>
    <x:row r="159" ht="39.599998474121094" hidden="0" customHeight="1">
      <x:c r="A159" s="10" t="str">
        <x:v>AGENT-001</x:v>
      </x:c>
      <x:c r="B159" s="10" t="str">
        <x:v>06 核心运行</x:v>
      </x:c>
      <x:c r="C159" s="10" t="str">
        <x:v>Agent 对话工作台</x:v>
      </x:c>
      <x:c r="D159" s="10" t="str">
        <x:v>P0</x:v>
      </x:c>
      <x:c r="E159" s="10" t="str">
        <x:v>首条消息和标题</x:v>
      </x:c>
      <x:c r="F159" s="10" t="str">
        <x:v>P1；真实 LLM；生产拟用工具配置；已索引业务资料</x:v>
      </x:c>
      <x:c r="G159" s="10" t="str">
        <x:v>新建对话
提交标准问题
等待完成</x:v>
      </x:c>
      <x:c r="H159" s="10" t="str">
        <x:v>真实回答显示
标题生成一次
thread/message/run ID 可追踪</x:v>
      </x:c>
      <x:c r="I159" s="10" t="str">
        <x:v>截图或录屏、脱敏请求响应、对象 ID、时间及相关日志</x:v>
      </x:c>
      <x:c r="J159" s="11" t="str">
        <x:v>未执行</x:v>
      </x:c>
      <x:c r="K159" s="11" t="str"/>
      <x:c r="L159" s="11" t="str"/>
      <x:c r="M159" s="11" t="str"/>
      <x:c r="N159" s="12"/>
      <x:c r="O159" s="11" t="str"/>
    </x:row>
    <x:row r="160" ht="39.599998474121094" hidden="0" customHeight="1">
      <x:c r="A160" s="10" t="str">
        <x:v>AGENT-002</x:v>
      </x:c>
      <x:c r="B160" s="10" t="str">
        <x:v>06 核心运行</x:v>
      </x:c>
      <x:c r="C160" s="10" t="str">
        <x:v>Agent 对话工作台</x:v>
      </x:c>
      <x:c r="D160" s="10" t="str">
        <x:v>P0</x:v>
      </x:c>
      <x:c r="E160" s="10" t="str">
        <x:v>多轮上下文</x:v>
      </x:c>
      <x:c r="F160" s="10" t="str">
        <x:v>P1；真实 LLM；生产拟用工具配置；已索引业务资料</x:v>
      </x:c>
      <x:c r="G160" s="10" t="str">
        <x:v>问预算，再问“把它按 6 周均摊”
然后更改话题</x:v>
      </x:c>
      <x:c r="H160" s="10" t="str">
        <x:v>正确理解上下文
已知值不丢失
不拿他人对话作上下文</x:v>
      </x:c>
      <x:c r="I160" s="10" t="str">
        <x:v>截图或录屏、脱敏请求响应、对象 ID、时间及相关日志</x:v>
      </x:c>
      <x:c r="J160" s="11" t="str">
        <x:v>未执行</x:v>
      </x:c>
      <x:c r="K160" s="11" t="str"/>
      <x:c r="L160" s="11" t="str"/>
      <x:c r="M160" s="11" t="str"/>
      <x:c r="N160" s="12"/>
      <x:c r="O160" s="11" t="str"/>
    </x:row>
    <x:row r="161" ht="39.599998474121094" hidden="0" customHeight="1">
      <x:c r="A161" s="10" t="str">
        <x:v>AGENT-003</x:v>
      </x:c>
      <x:c r="B161" s="10" t="str">
        <x:v>06 核心运行</x:v>
      </x:c>
      <x:c r="C161" s="10" t="str">
        <x:v>Agent 对话工作台</x:v>
      </x:c>
      <x:c r="D161" s="10" t="str">
        <x:v>P0</x:v>
      </x:c>
      <x:c r="E161" s="10" t="str">
        <x:v>确定性计算</x:v>
      </x:c>
      <x:c r="F161" s="10" t="str">
        <x:v>P1；真实 LLM；生产拟用工具配置；已索引业务资料</x:v>
      </x:c>
      <x:c r="G161" s="10" t="str">
        <x:v>问 0.1+0.2 和 9007199254740993+7
问含缺失变量的预算计算</x:v>
      </x:c>
      <x:c r="H161" s="10" t="str">
        <x:v>分别为 0.3、9007199254741000
缺变量要澄清
不猜变量</x:v>
      </x:c>
      <x:c r="I161" s="10" t="str">
        <x:v>截图或录屏、脱敏请求响应、对象 ID、时间及相关日志</x:v>
      </x:c>
      <x:c r="J161" s="11" t="str">
        <x:v>未执行</x:v>
      </x:c>
      <x:c r="K161" s="11" t="str"/>
      <x:c r="L161" s="11" t="str"/>
      <x:c r="M161" s="11" t="str"/>
      <x:c r="N161" s="12"/>
      <x:c r="O161" s="11" t="str"/>
    </x:row>
    <x:row r="162" ht="39.599998474121094" hidden="0" customHeight="1">
      <x:c r="A162" s="10" t="str">
        <x:v>AGENT-004</x:v>
      </x:c>
      <x:c r="B162" s="10" t="str">
        <x:v>06 核心运行</x:v>
      </x:c>
      <x:c r="C162" s="10" t="str">
        <x:v>Agent 对话工作台</x:v>
      </x:c>
      <x:c r="D162" s="10" t="str">
        <x:v>P0</x:v>
      </x:c>
      <x:c r="E162" s="10" t="str">
        <x:v>流式正文与进度</x:v>
      </x:c>
      <x:c r="F162" s="10" t="str">
        <x:v>P1；真实 LLM；生产拟用工具配置；已索引业务资料</x:v>
      </x:c>
      <x:c r="G162" s="10" t="str">
        <x:v>观察开始、阶段、工具、内容片段及完成消息</x:v>
      </x:c>
      <x:c r="H162" s="10" t="str">
        <x:v>正文可持续更新
消息/事件不重复
不显示模型隐藏思维</x:v>
      </x:c>
      <x:c r="I162" s="10" t="str">
        <x:v>截图或录屏、脱敏请求响应、对象 ID、时间及相关日志</x:v>
      </x:c>
      <x:c r="J162" s="11" t="str">
        <x:v>未执行</x:v>
      </x:c>
      <x:c r="K162" s="11" t="str"/>
      <x:c r="L162" s="11" t="str"/>
      <x:c r="M162" s="11" t="str"/>
      <x:c r="N162" s="12"/>
      <x:c r="O162" s="11" t="str"/>
    </x:row>
    <x:row r="163" ht="26.399999618530273" hidden="0" customHeight="1">
      <x:c r="A163" s="10" t="str">
        <x:v>AGENT-005</x:v>
      </x:c>
      <x:c r="B163" s="10" t="str">
        <x:v>06 核心运行</x:v>
      </x:c>
      <x:c r="C163" s="10" t="str">
        <x:v>Agent 对话工作台</x:v>
      </x:c>
      <x:c r="D163" s="10" t="str">
        <x:v>P0</x:v>
      </x:c>
      <x:c r="E163" s="10" t="str">
        <x:v>刷新恢复对话</x:v>
      </x:c>
      <x:c r="F163" s="10" t="str">
        <x:v>P1；真实 LLM；生产拟用工具配置；已索引业务资料</x:v>
      </x:c>
      <x:c r="G163" s="10" t="str">
        <x:v>在运行中刷新，再关闭/重开项目</x:v>
      </x:c>
      <x:c r="H163" s="10" t="str">
        <x:v>已有消息、run 快照与终态正确恢复
无重复计费请求</x:v>
      </x:c>
      <x:c r="I163" s="10" t="str">
        <x:v>截图或录屏、脱敏请求响应、对象 ID、时间及相关日志</x:v>
      </x:c>
      <x:c r="J163" s="11" t="str">
        <x:v>未执行</x:v>
      </x:c>
      <x:c r="K163" s="11" t="str"/>
      <x:c r="L163" s="11" t="str"/>
      <x:c r="M163" s="11" t="str"/>
      <x:c r="N163" s="12"/>
      <x:c r="O163" s="11" t="str"/>
    </x:row>
    <x:row r="164" ht="26.399999618530273" hidden="0" customHeight="1">
      <x:c r="A164" s="10" t="str">
        <x:v>AGENT-006</x:v>
      </x:c>
      <x:c r="B164" s="10" t="str">
        <x:v>06 核心运行</x:v>
      </x:c>
      <x:c r="C164" s="10" t="str">
        <x:v>Agent 对话工作台</x:v>
      </x:c>
      <x:c r="D164" s="10" t="str">
        <x:v>P1</x:v>
      </x:c>
      <x:c r="E164" s="10" t="str">
        <x:v>多会话切换</x:v>
      </x:c>
      <x:c r="F164" s="10" t="str">
        <x:v>P1；真实 LLM；生产拟用工具配置；已索引业务资料</x:v>
      </x:c>
      <x:c r="G164" s="10" t="str">
        <x:v>建 T1/T2
在 T1 运行时切 T2 并继续提问</x:v>
      </x:c>
      <x:c r="H164" s="10" t="str">
        <x:v>历史与在途输出留在对应会话
不会串消息</x:v>
      </x:c>
      <x:c r="I164" s="10" t="str">
        <x:v>截图或录屏、脱敏请求响应、对象 ID、时间及相关日志</x:v>
      </x:c>
      <x:c r="J164" s="11" t="str">
        <x:v>未执行</x:v>
      </x:c>
      <x:c r="K164" s="11" t="str"/>
      <x:c r="L164" s="11" t="str"/>
      <x:c r="M164" s="11" t="str"/>
      <x:c r="N164" s="12"/>
      <x:c r="O164" s="11" t="str"/>
    </x:row>
    <x:row r="165" ht="39.599998474121094" hidden="0" customHeight="1">
      <x:c r="A165" s="10" t="str">
        <x:v>AGENT-007</x:v>
      </x:c>
      <x:c r="B165" s="10" t="str">
        <x:v>06 核心运行</x:v>
      </x:c>
      <x:c r="C165" s="10" t="str">
        <x:v>Agent 对话工作台</x:v>
      </x:c>
      <x:c r="D165" s="10" t="str">
        <x:v>P1</x:v>
      </x:c>
      <x:c r="E165" s="10" t="str">
        <x:v>会话删除</x:v>
      </x:c>
      <x:c r="F165" s="10" t="str">
        <x:v>P1；真实 LLM；生产拟用工具配置；已索引业务资料</x:v>
      </x:c>
      <x:c r="G165" s="10" t="str">
        <x:v>取消删除，再确认删除 QA 会话
刷新
直访旧 thread ID</x:v>
      </x:c>
      <x:c r="H165" s="10" t="str">
        <x:v>取消保留
确认后不可再次读取
不会删除其他会话</x:v>
      </x:c>
      <x:c r="I165" s="10" t="str">
        <x:v>截图或录屏、脱敏请求响应、对象 ID、时间及相关日志</x:v>
      </x:c>
      <x:c r="J165" s="11" t="str">
        <x:v>未执行</x:v>
      </x:c>
      <x:c r="K165" s="11" t="str"/>
      <x:c r="L165" s="11" t="str"/>
      <x:c r="M165" s="11" t="str"/>
      <x:c r="N165" s="12"/>
      <x:c r="O165" s="11" t="str"/>
    </x:row>
    <x:row r="166" ht="26.399999618530273" hidden="0" customHeight="1">
      <x:c r="A166" s="10" t="str">
        <x:v>AGENT-008</x:v>
      </x:c>
      <x:c r="B166" s="10" t="str">
        <x:v>06 核心运行</x:v>
      </x:c>
      <x:c r="C166" s="10" t="str">
        <x:v>Agent 对话工作台</x:v>
      </x:c>
      <x:c r="D166" s="10" t="str">
        <x:v>P1</x:v>
      </x:c>
      <x:c r="E166" s="10" t="str">
        <x:v>模型显式选择</x:v>
      </x:c>
      <x:c r="F166" s="10" t="str">
        <x:v>P1；真实 LLM；生产拟用工具配置；已索引业务资料</x:v>
      </x:c>
      <x:c r="G166" s="10" t="str">
        <x:v>默认/模型 M1/模型 M2 分别同题运行</x:v>
      </x:c>
      <x:c r="H166" s="10" t="str">
        <x:v>实际模型与选择一致
记录真实模型名、参数和 usage</x:v>
      </x:c>
      <x:c r="I166" s="10" t="str">
        <x:v>截图或录屏、脱敏请求响应、对象 ID、时间及相关日志</x:v>
      </x:c>
      <x:c r="J166" s="11" t="str">
        <x:v>未执行</x:v>
      </x:c>
      <x:c r="K166" s="11" t="str"/>
      <x:c r="L166" s="11" t="str"/>
      <x:c r="M166" s="11" t="str"/>
      <x:c r="N166" s="12"/>
      <x:c r="O166" s="11" t="str"/>
    </x:row>
    <x:row r="167" ht="39.599998474121094" hidden="0" customHeight="1">
      <x:c r="A167" s="10" t="str">
        <x:v>AGENT-009</x:v>
      </x:c>
      <x:c r="B167" s="10" t="str">
        <x:v>06 核心运行</x:v>
      </x:c>
      <x:c r="C167" s="10" t="str">
        <x:v>Agent 对话工作台</x:v>
      </x:c>
      <x:c r="D167" s="10" t="str">
        <x:v>P1</x:v>
      </x:c>
      <x:c r="E167" s="10" t="str">
        <x:v>策略 AUTO</x:v>
      </x:c>
      <x:c r="F167" s="10" t="str">
        <x:v>P1；真实 LLM；生产拟用工具配置；已索引业务资料</x:v>
      </x:c>
      <x:c r="G167" s="10" t="str">
        <x:v>简单事实、需检索、需分步与复杂问题分别 AUTO</x:v>
      </x:c>
      <x:c r="H167" s="10" t="str">
        <x:v>实际选择可解释
不为简单问题无界扩展
结果正确</x:v>
      </x:c>
      <x:c r="I167" s="10" t="str">
        <x:v>截图或录屏、脱敏请求响应、对象 ID、时间及相关日志</x:v>
      </x:c>
      <x:c r="J167" s="11" t="str">
        <x:v>未执行</x:v>
      </x:c>
      <x:c r="K167" s="11" t="str"/>
      <x:c r="L167" s="11" t="str"/>
      <x:c r="M167" s="11" t="str"/>
      <x:c r="N167" s="12"/>
      <x:c r="O167" s="11" t="str"/>
    </x:row>
    <x:row r="168" ht="26.399999618530273" hidden="0" customHeight="1">
      <x:c r="A168" s="10" t="str">
        <x:v>AGENT-010</x:v>
      </x:c>
      <x:c r="B168" s="10" t="str">
        <x:v>06 核心运行</x:v>
      </x:c>
      <x:c r="C168" s="10" t="str">
        <x:v>Agent 对话工作台</x:v>
      </x:c>
      <x:c r="D168" s="10" t="str">
        <x:v>P1</x:v>
      </x:c>
      <x:c r="E168" s="10" t="str">
        <x:v>策略 REACT</x:v>
      </x:c>
      <x:c r="F168" s="10" t="str">
        <x:v>P1；真实 LLM；生产拟用工具配置；已索引业务资料</x:v>
      </x:c>
      <x:c r="G168" s="10" t="str">
        <x:v>选择“边查边确认”提出需工具查询问题</x:v>
      </x:c>
      <x:c r="H168" s="10" t="str">
        <x:v>工具循环有界
观察与结果对应真实调用</x:v>
      </x:c>
      <x:c r="I168" s="10" t="str">
        <x:v>截图或录屏、脱敏请求响应、对象 ID、时间及相关日志</x:v>
      </x:c>
      <x:c r="J168" s="11" t="str">
        <x:v>未执行</x:v>
      </x:c>
      <x:c r="K168" s="11" t="str"/>
      <x:c r="L168" s="11" t="str"/>
      <x:c r="M168" s="11" t="str"/>
      <x:c r="N168" s="12"/>
      <x:c r="O168" s="11" t="str"/>
    </x:row>
    <x:row r="169" ht="26.399999618530273" hidden="0" customHeight="1">
      <x:c r="A169" s="10" t="str">
        <x:v>AGENT-011</x:v>
      </x:c>
      <x:c r="B169" s="10" t="str">
        <x:v>06 核心运行</x:v>
      </x:c>
      <x:c r="C169" s="10" t="str">
        <x:v>Agent 对话工作台</x:v>
      </x:c>
      <x:c r="D169" s="10" t="str">
        <x:v>P1</x:v>
      </x:c>
      <x:c r="E169" s="10" t="str">
        <x:v>策略 PLAN_AND_SOLVE</x:v>
      </x:c>
      <x:c r="F169" s="10" t="str">
        <x:v>P1；真实 LLM；生产拟用工具配置；已索引业务资料</x:v>
      </x:c>
      <x:c r="G169" s="10" t="str">
        <x:v>选择“先整理步骤”提出多条件问题</x:v>
      </x:c>
      <x:c r="H169" s="10" t="str">
        <x:v>先展示有限计划再执行
阶段与结果可追溯</x:v>
      </x:c>
      <x:c r="I169" s="10" t="str">
        <x:v>截图或录屏、脱敏请求响应、对象 ID、时间及相关日志</x:v>
      </x:c>
      <x:c r="J169" s="11" t="str">
        <x:v>未执行</x:v>
      </x:c>
      <x:c r="K169" s="11" t="str"/>
      <x:c r="L169" s="11" t="str"/>
      <x:c r="M169" s="11" t="str"/>
      <x:c r="N169" s="12"/>
      <x:c r="O169" s="11" t="str"/>
    </x:row>
    <x:row r="170" ht="39.599998474121094" hidden="0" customHeight="1">
      <x:c r="A170" s="10" t="str">
        <x:v>AGENT-012</x:v>
      </x:c>
      <x:c r="B170" s="10" t="str">
        <x:v>06 核心运行</x:v>
      </x:c>
      <x:c r="C170" s="10" t="str">
        <x:v>Agent 对话工作台</x:v>
      </x:c>
      <x:c r="D170" s="10" t="str">
        <x:v>P1</x:v>
      </x:c>
      <x:c r="E170" s="10" t="str">
        <x:v>策略 REFLECTION</x:v>
      </x:c>
      <x:c r="F170" s="10" t="str">
        <x:v>P1；真实 LLM；生产拟用工具配置；已索引业务资料</x:v>
      </x:c>
      <x:c r="G170" s="10" t="str">
        <x:v>选择“回答后检查”
加入需要核对数字的问题</x:v>
      </x:c>
      <x:c r="H170" s="10" t="str">
        <x:v>发生受控检查
发现错误会修正或指出
无无限自检</x:v>
      </x:c>
      <x:c r="I170" s="10" t="str">
        <x:v>截图或录屏、脱敏请求响应、对象 ID、时间及相关日志</x:v>
      </x:c>
      <x:c r="J170" s="11" t="str">
        <x:v>未执行</x:v>
      </x:c>
      <x:c r="K170" s="11" t="str"/>
      <x:c r="L170" s="11" t="str"/>
      <x:c r="M170" s="11" t="str"/>
      <x:c r="N170" s="12"/>
      <x:c r="O170" s="11" t="str"/>
    </x:row>
    <x:row r="171" ht="39.599998474121094" hidden="0" customHeight="1">
      <x:c r="A171" s="10" t="str">
        <x:v>AGENT-013</x:v>
      </x:c>
      <x:c r="B171" s="10" t="str">
        <x:v>06 核心运行</x:v>
      </x:c>
      <x:c r="C171" s="10" t="str">
        <x:v>Agent 对话工作台</x:v>
      </x:c>
      <x:c r="D171" s="10" t="str">
        <x:v>P1</x:v>
      </x:c>
      <x:c r="E171" s="10" t="str">
        <x:v>多 Agent 模式</x:v>
      </x:c>
      <x:c r="F171" s="10" t="str">
        <x:v>P1；真实 LLM；生产拟用工具配置；已索引业务资料</x:v>
      </x:c>
      <x:c r="G171" s="10" t="str">
        <x:v>分别 AUTO/ON/OFF 同题运行</x:v>
      </x:c>
      <x:c r="H171" s="10" t="str">
        <x:v>角色调度与模式对应
工具/耗时有记录
OFF 不额外调度多个角色</x:v>
      </x:c>
      <x:c r="I171" s="10" t="str">
        <x:v>截图或录屏、脱敏请求响应、对象 ID、时间及相关日志</x:v>
      </x:c>
      <x:c r="J171" s="11" t="str">
        <x:v>未执行</x:v>
      </x:c>
      <x:c r="K171" s="11" t="str"/>
      <x:c r="L171" s="11" t="str"/>
      <x:c r="M171" s="11" t="str"/>
      <x:c r="N171" s="12"/>
      <x:c r="O171" s="11" t="str"/>
    </x:row>
    <x:row r="172" ht="39.599998474121094" hidden="0" customHeight="1">
      <x:c r="A172" s="10" t="str">
        <x:v>AGENT-014</x:v>
      </x:c>
      <x:c r="B172" s="10" t="str">
        <x:v>06 核心运行</x:v>
      </x:c>
      <x:c r="C172" s="10" t="str">
        <x:v>Agent 对话工作台</x:v>
      </x:c>
      <x:c r="D172" s="10" t="str">
        <x:v>P1</x:v>
      </x:c>
      <x:c r="E172" s="10" t="str">
        <x:v>反思与推理参数</x:v>
      </x:c>
      <x:c r="F172" s="10" t="str">
        <x:v>P1；真实 LLM；生产拟用工具配置；已索引业务资料</x:v>
      </x:c>
      <x:c r="G172" s="10" t="str">
        <x:v>开关独立检查
切换可选 reasoningEffort/decisionReasoningEffort</x:v>
      </x:c>
      <x:c r="H172" s="10" t="str">
        <x:v>参数实际传递
无支持时清晰提示
预算有界</x:v>
      </x:c>
      <x:c r="I172" s="10" t="str">
        <x:v>截图或录屏、脱敏请求响应、对象 ID、时间及相关日志</x:v>
      </x:c>
      <x:c r="J172" s="11" t="str">
        <x:v>未执行</x:v>
      </x:c>
      <x:c r="K172" s="11" t="str"/>
      <x:c r="L172" s="11" t="str"/>
      <x:c r="M172" s="11" t="str"/>
      <x:c r="N172" s="12"/>
      <x:c r="O172" s="11" t="str"/>
    </x:row>
    <x:row r="173" ht="26.399999618530273" hidden="0" customHeight="1">
      <x:c r="A173" s="10" t="str">
        <x:v>AGENT-015</x:v>
      </x:c>
      <x:c r="B173" s="10" t="str">
        <x:v>06 核心运行</x:v>
      </x:c>
      <x:c r="C173" s="10" t="str">
        <x:v>Agent 对话工作台</x:v>
      </x:c>
      <x:c r="D173" s="10" t="str">
        <x:v>P0</x:v>
      </x:c>
      <x:c r="E173" s="10" t="str">
        <x:v>联网开关</x:v>
      </x:c>
      <x:c r="F173" s="10" t="str">
        <x:v>P1；真实 LLM；生产拟用工具配置；已索引业务资料</x:v>
      </x:c>
      <x:c r="G173" s="10" t="str">
        <x:v>同一外部问题关闭/开启联网</x:v>
      </x:c>
      <x:c r="H173" s="10" t="str">
        <x:v>真实开关影响可调用工具
来源与错误可见</x:v>
      </x:c>
      <x:c r="I173" s="10" t="str">
        <x:v>截图或录屏、脱敏请求响应、对象 ID、时间及相关日志</x:v>
      </x:c>
      <x:c r="J173" s="11" t="str">
        <x:v>未执行</x:v>
      </x:c>
      <x:c r="K173" s="11" t="str"/>
      <x:c r="L173" s="11" t="str"/>
      <x:c r="M173" s="11" t="str"/>
      <x:c r="N173" s="12"/>
      <x:c r="O173" s="11" t="str"/>
    </x:row>
    <x:row r="174" ht="39.599998474121094" hidden="0" customHeight="1">
      <x:c r="A174" s="10" t="str">
        <x:v>AGENT-016</x:v>
      </x:c>
      <x:c r="B174" s="10" t="str">
        <x:v>06 核心运行</x:v>
      </x:c>
      <x:c r="C174" s="10" t="str">
        <x:v>Agent 对话工作台</x:v>
      </x:c>
      <x:c r="D174" s="10" t="str">
        <x:v>P0</x:v>
      </x:c>
      <x:c r="E174" s="10" t="str">
        <x:v>取消对话运行</x:v>
      </x:c>
      <x:c r="F174" s="10" t="str">
        <x:v>P1；真实 LLM；生产拟用工具配置；已索引业务资料</x:v>
      </x:c>
      <x:c r="G174" s="10" t="str">
        <x:v>流式阶段点停止
等待取消
随后继续新消息</x:v>
      </x:c>
      <x:c r="H174" s="10" t="str">
        <x:v>旧运行结束不继续追加
新请求可成功
部分输出标识明确</x:v>
      </x:c>
      <x:c r="I174" s="10" t="str">
        <x:v>截图或录屏、脱敏请求响应、对象 ID、时间及相关日志</x:v>
      </x:c>
      <x:c r="J174" s="11" t="str">
        <x:v>未执行</x:v>
      </x:c>
      <x:c r="K174" s="11" t="str"/>
      <x:c r="L174" s="11" t="str"/>
      <x:c r="M174" s="11" t="str"/>
      <x:c r="N174" s="12"/>
      <x:c r="O174" s="11" t="str"/>
    </x:row>
    <x:row r="175" ht="39.599998474121094" hidden="0" customHeight="1">
      <x:c r="A175" s="10" t="str">
        <x:v>AGENT-017</x:v>
      </x:c>
      <x:c r="B175" s="10" t="str">
        <x:v>06 核心运行</x:v>
      </x:c>
      <x:c r="C175" s="10" t="str">
        <x:v>Agent 对话工作台</x:v>
      </x:c>
      <x:c r="D175" s="10" t="str">
        <x:v>P1</x:v>
      </x:c>
      <x:c r="E175" s="10" t="str">
        <x:v>模型失败与超时</x:v>
      </x:c>
      <x:c r="F175" s="10" t="str">
        <x:v>P1；真实 LLM；生产拟用工具配置；已索引业务资料</x:v>
      </x:c>
      <x:c r="G175" s="10" t="str">
        <x:v>错误 key、首响应超时、流中断、供应商限流
恢复再发送</x:v>
      </x:c>
      <x:c r="H175" s="10" t="str">
        <x:v>失败原因明确
无“已完成”假终态
不重复整个请求自动扣费</x:v>
      </x:c>
      <x:c r="I175" s="10" t="str">
        <x:v>截图或录屏、脱敏请求响应、对象 ID、时间及相关日志</x:v>
      </x:c>
      <x:c r="J175" s="11" t="str">
        <x:v>未执行</x:v>
      </x:c>
      <x:c r="K175" s="11" t="str"/>
      <x:c r="L175" s="11" t="str"/>
      <x:c r="M175" s="11" t="str"/>
      <x:c r="N175" s="12"/>
      <x:c r="O175" s="11" t="str"/>
    </x:row>
    <x:row r="176" ht="39.599998474121094" hidden="0" customHeight="1">
      <x:c r="A176" s="10" t="str">
        <x:v>AGENT-018</x:v>
      </x:c>
      <x:c r="B176" s="10" t="str">
        <x:v>06 核心运行</x:v>
      </x:c>
      <x:c r="C176" s="10" t="str">
        <x:v>Agent 对话工作台</x:v>
      </x:c>
      <x:c r="D176" s="10" t="str">
        <x:v>P0</x:v>
      </x:c>
      <x:c r="E176" s="10" t="str">
        <x:v>断网和 SSE 重连</x:v>
      </x:c>
      <x:c r="F176" s="10" t="str">
        <x:v>P1；真实 LLM；生产拟用工具配置；已索引业务资料</x:v>
      </x:c>
      <x:c r="G176" s="10" t="str">
        <x:v>浏览器离线短时后恢复
重连同一 run
重放已收事件</x:v>
      </x:c>
      <x:c r="H176" s="10" t="str">
        <x:v>事件去重、顺序与结果准确
不会凭断流假判成功</x:v>
      </x:c>
      <x:c r="I176" s="10" t="str">
        <x:v>截图或录屏、脱敏请求响应、对象 ID、时间及相关日志</x:v>
      </x:c>
      <x:c r="J176" s="11" t="str">
        <x:v>未执行</x:v>
      </x:c>
      <x:c r="K176" s="11" t="str"/>
      <x:c r="L176" s="11" t="str"/>
      <x:c r="M176" s="11" t="str"/>
      <x:c r="N176" s="12"/>
      <x:c r="O176" s="11" t="str"/>
    </x:row>
    <x:row r="177" ht="26.399999618530273" hidden="0" customHeight="1">
      <x:c r="A177" s="10" t="str">
        <x:v>AGENT-019</x:v>
      </x:c>
      <x:c r="B177" s="10" t="str">
        <x:v>06 核心运行</x:v>
      </x:c>
      <x:c r="C177" s="10" t="str">
        <x:v>Agent 对话工作台</x:v>
      </x:c>
      <x:c r="D177" s="10" t="str">
        <x:v>P1</x:v>
      </x:c>
      <x:c r="E177" s="10" t="str">
        <x:v>附件上传和移除</x:v>
      </x:c>
      <x:c r="F177" s="10" t="str">
        <x:v>P1；真实 LLM；生产拟用工具配置；已索引业务资料</x:v>
      </x:c>
      <x:c r="G177" s="10" t="str">
        <x:v>选择/拖入/粘贴现有可用入口的图片与文档
发送前移除一项</x:v>
      </x:c>
      <x:c r="H177" s="10" t="str">
        <x:v>仅实际提交附件被处理
上传状态与关联正确</x:v>
      </x:c>
      <x:c r="I177" s="10" t="str">
        <x:v>截图或录屏、脱敏请求响应、对象 ID、时间及相关日志</x:v>
      </x:c>
      <x:c r="J177" s="11" t="str">
        <x:v>未执行</x:v>
      </x:c>
      <x:c r="K177" s="11" t="str"/>
      <x:c r="L177" s="11" t="str"/>
      <x:c r="M177" s="11" t="str"/>
      <x:c r="N177" s="12"/>
      <x:c r="O177" s="11" t="str"/>
    </x:row>
    <x:row r="178" ht="39.599998474121094" hidden="0" customHeight="1">
      <x:c r="A178" s="10" t="str">
        <x:v>AGENT-020</x:v>
      </x:c>
      <x:c r="B178" s="10" t="str">
        <x:v>06 核心运行</x:v>
      </x:c>
      <x:c r="C178" s="10" t="str">
        <x:v>Agent 对话工作台</x:v>
      </x:c>
      <x:c r="D178" s="10" t="str">
        <x:v>P1</x:v>
      </x:c>
      <x:c r="E178" s="10" t="str">
        <x:v>附件数量与体积</x:v>
      </x:c>
      <x:c r="F178" s="10" t="str">
        <x:v>P1；真实 LLM；生产拟用工具配置；已索引业务资料</x:v>
      </x:c>
      <x:c r="G178" s="10" t="str">
        <x:v>单次 10/11 附件、空文件、超单文件限额、超用户配额</x:v>
      </x:c>
      <x:c r="H178" s="10" t="str">
        <x:v>合法边界可用
越界拒绝
无部分失败伪成功</x:v>
      </x:c>
      <x:c r="I178" s="10" t="str">
        <x:v>截图或录屏、脱敏请求响应、对象 ID、时间及相关日志</x:v>
      </x:c>
      <x:c r="J178" s="11" t="str">
        <x:v>未执行</x:v>
      </x:c>
      <x:c r="K178" s="11" t="str"/>
      <x:c r="L178" s="11" t="str"/>
      <x:c r="M178" s="11" t="str"/>
      <x:c r="N178" s="12"/>
      <x:c r="O178" s="11" t="str"/>
    </x:row>
    <x:row r="179" ht="39.599998474121094" hidden="0" customHeight="1">
      <x:c r="A179" s="10" t="str">
        <x:v>AGENT-021</x:v>
      </x:c>
      <x:c r="B179" s="10" t="str">
        <x:v>06 核心运行</x:v>
      </x:c>
      <x:c r="C179" s="10" t="str">
        <x:v>Agent 对话工作台</x:v>
      </x:c>
      <x:c r="D179" s="10" t="str">
        <x:v>P0</x:v>
      </x:c>
      <x:c r="E179" s="10" t="str">
        <x:v>附件真实分析</x:v>
      </x:c>
      <x:c r="F179" s="10" t="str">
        <x:v>P1；真实 LLM；生产拟用工具配置；已索引业务资料</x:v>
      </x:c>
      <x:c r="G179" s="10" t="str">
        <x:v>上传含确定数字和表格的文件提问
打开附件原文</x:v>
      </x:c>
      <x:c r="H179" s="10" t="str">
        <x:v>分析来自附件
回答数字与内容一致
解析警告可见</x:v>
      </x:c>
      <x:c r="I179" s="10" t="str">
        <x:v>截图或录屏、脱敏请求响应、对象 ID、时间及相关日志</x:v>
      </x:c>
      <x:c r="J179" s="11" t="str">
        <x:v>未执行</x:v>
      </x:c>
      <x:c r="K179" s="11" t="str"/>
      <x:c r="L179" s="11" t="str"/>
      <x:c r="M179" s="11" t="str"/>
      <x:c r="N179" s="12"/>
      <x:c r="O179" s="11" t="str"/>
    </x:row>
    <x:row r="180" ht="39.599998474121094" hidden="0" customHeight="1">
      <x:c r="A180" s="10" t="str">
        <x:v>AGENT-022</x:v>
      </x:c>
      <x:c r="B180" s="10" t="str">
        <x:v>06 核心运行</x:v>
      </x:c>
      <x:c r="C180" s="10" t="str">
        <x:v>Agent 对话工作台</x:v>
      </x:c>
      <x:c r="D180" s="10" t="str">
        <x:v>P1</x:v>
      </x:c>
      <x:c r="E180" s="10" t="str">
        <x:v>图片与文档展示</x:v>
      </x:c>
      <x:c r="F180" s="10" t="str">
        <x:v>P1；真实 LLM；生产拟用工具配置；已索引业务资料</x:v>
      </x:c>
      <x:c r="G180" s="10" t="str">
        <x:v>消息附件展开/折叠
打开图片预览
打开文档原文</x:v>
      </x:c>
      <x:c r="H180" s="10" t="str">
        <x:v>正确类型、真实内容
弹层可关闭
不遮挡操作</x:v>
      </x:c>
      <x:c r="I180" s="10" t="str">
        <x:v>截图或录屏、脱敏请求响应、对象 ID、时间及相关日志</x:v>
      </x:c>
      <x:c r="J180" s="11" t="str">
        <x:v>未执行</x:v>
      </x:c>
      <x:c r="K180" s="11" t="str"/>
      <x:c r="L180" s="11" t="str"/>
      <x:c r="M180" s="11" t="str"/>
      <x:c r="N180" s="12"/>
      <x:c r="O180" s="11" t="str"/>
    </x:row>
    <x:row r="181" ht="26.399999618530273" hidden="0" customHeight="1">
      <x:c r="A181" s="10" t="str">
        <x:v>AGENT-023</x:v>
      </x:c>
      <x:c r="B181" s="10" t="str">
        <x:v>06 核心运行</x:v>
      </x:c>
      <x:c r="C181" s="10" t="str">
        <x:v>Agent 对话工作台</x:v>
      </x:c>
      <x:c r="D181" s="10" t="str">
        <x:v>P1</x:v>
      </x:c>
      <x:c r="E181" s="10" t="str">
        <x:v>长附件上下文限制</x:v>
      </x:c>
      <x:c r="F181" s="10" t="str">
        <x:v>P1；真实 LLM；生产拟用工具配置；已索引业务资料</x:v>
      </x:c>
      <x:c r="G181" s="10" t="str">
        <x:v>上传超长资料和多个附件
询问被截断位置内容</x:v>
      </x:c>
      <x:c r="H181" s="10" t="str">
        <x:v>有长度边界和限制提示
不假称读完被截断内容</x:v>
      </x:c>
      <x:c r="I181" s="10" t="str">
        <x:v>截图或录屏、脱敏请求响应、对象 ID、时间及相关日志</x:v>
      </x:c>
      <x:c r="J181" s="11" t="str">
        <x:v>未执行</x:v>
      </x:c>
      <x:c r="K181" s="11" t="str"/>
      <x:c r="L181" s="11" t="str"/>
      <x:c r="M181" s="11" t="str"/>
      <x:c r="N181" s="12"/>
      <x:c r="O181" s="11" t="str"/>
    </x:row>
    <x:row r="182" ht="39.599998474121094" hidden="0" customHeight="1">
      <x:c r="A182" s="10" t="str">
        <x:v>AGENT-024</x:v>
      </x:c>
      <x:c r="B182" s="10" t="str">
        <x:v>06 核心运行</x:v>
      </x:c>
      <x:c r="C182" s="10" t="str">
        <x:v>Agent 对话工作台</x:v>
      </x:c>
      <x:c r="D182" s="10" t="str">
        <x:v>P1</x:v>
      </x:c>
      <x:c r="E182" s="10" t="str">
        <x:v>Markdown 与数学</x:v>
      </x:c>
      <x:c r="F182" s="10" t="str">
        <x:v>P1；真实 LLM；生产拟用工具配置；已索引业务资料</x:v>
      </x:c>
      <x:c r="G182" s="10" t="str">
        <x:v>模型输出标题、列表、表格、代码、公式和长 URL</x:v>
      </x:c>
      <x:c r="H182" s="10" t="str">
        <x:v>渲染正确
复制文本/代码一致
无 HTML 注入</x:v>
      </x:c>
      <x:c r="I182" s="10" t="str">
        <x:v>截图或录屏、脱敏请求响应、对象 ID、时间及相关日志</x:v>
      </x:c>
      <x:c r="J182" s="11" t="str">
        <x:v>未执行</x:v>
      </x:c>
      <x:c r="K182" s="11" t="str"/>
      <x:c r="L182" s="11" t="str"/>
      <x:c r="M182" s="11" t="str"/>
      <x:c r="N182" s="12"/>
      <x:c r="O182" s="11" t="str"/>
    </x:row>
    <x:row r="183" ht="26.399999618530273" hidden="0" customHeight="1">
      <x:c r="A183" s="10" t="str">
        <x:v>AGENT-025</x:v>
      </x:c>
      <x:c r="B183" s="10" t="str">
        <x:v>06 核心运行</x:v>
      </x:c>
      <x:c r="C183" s="10" t="str">
        <x:v>Agent 对话工作台</x:v>
      </x:c>
      <x:c r="D183" s="10" t="str">
        <x:v>P0</x:v>
      </x:c>
      <x:c r="E183" s="10" t="str">
        <x:v>引用编号和展开</x:v>
      </x:c>
      <x:c r="F183" s="10" t="str">
        <x:v>P1；真实 LLM；生产拟用工具配置；已索引业务资料</x:v>
      </x:c>
      <x:c r="G183" s="10" t="str">
        <x:v>点击内外部引用、重复引用及混合引用
查看来源详情</x:v>
      </x:c>
      <x:c r="H183" s="10" t="str">
        <x:v>编号、证据、文件/URL 对应
重复引用不乱序</x:v>
      </x:c>
      <x:c r="I183" s="10" t="str">
        <x:v>截图或录屏、脱敏请求响应、对象 ID、时间及相关日志</x:v>
      </x:c>
      <x:c r="J183" s="11" t="str">
        <x:v>未执行</x:v>
      </x:c>
      <x:c r="K183" s="11" t="str"/>
      <x:c r="L183" s="11" t="str"/>
      <x:c r="M183" s="11" t="str"/>
      <x:c r="N183" s="12"/>
      <x:c r="O183" s="11" t="str"/>
    </x:row>
    <x:row r="184" ht="39.599998474121094" hidden="0" customHeight="1">
      <x:c r="A184" s="10" t="str">
        <x:v>AGENT-026</x:v>
      </x:c>
      <x:c r="B184" s="10" t="str">
        <x:v>06 核心运行</x:v>
      </x:c>
      <x:c r="C184" s="10" t="str">
        <x:v>Agent 对话工作台</x:v>
      </x:c>
      <x:c r="D184" s="10" t="str">
        <x:v>P1</x:v>
      </x:c>
      <x:c r="E184" s="10" t="str">
        <x:v>网页引用入库</x:v>
      </x:c>
      <x:c r="F184" s="10" t="str">
        <x:v>P1；真实 LLM；生产拟用工具配置；已索引业务资料</x:v>
      </x:c>
      <x:c r="G184" s="10" t="str">
        <x:v>在对话引用面板保存来源
重复点击
确认知识库索引</x:v>
      </x:c>
      <x:c r="H184" s="10" t="str">
        <x:v>成功状态真实
可继续查询
重复操作受控</x:v>
      </x:c>
      <x:c r="I184" s="10" t="str">
        <x:v>截图或录屏、脱敏请求响应、对象 ID、时间及相关日志</x:v>
      </x:c>
      <x:c r="J184" s="11" t="str">
        <x:v>未执行</x:v>
      </x:c>
      <x:c r="K184" s="11" t="str"/>
      <x:c r="L184" s="11" t="str"/>
      <x:c r="M184" s="11" t="str"/>
      <x:c r="N184" s="12"/>
      <x:c r="O184" s="11" t="str"/>
    </x:row>
    <x:row r="185" ht="39.599998474121094" hidden="0" customHeight="1">
      <x:c r="A185" s="10" t="str">
        <x:v>AGENT-027</x:v>
      </x:c>
      <x:c r="B185" s="10" t="str">
        <x:v>06 核心运行</x:v>
      </x:c>
      <x:c r="C185" s="10" t="str">
        <x:v>Agent 对话工作台</x:v>
      </x:c>
      <x:c r="D185" s="10" t="str">
        <x:v>P1</x:v>
      </x:c>
      <x:c r="E185" s="10" t="str">
        <x:v>复制和导出对话</x:v>
      </x:c>
      <x:c r="F185" s="10" t="str">
        <x:v>P1；真实 LLM；生产拟用工具配置；已索引业务资料</x:v>
      </x:c>
      <x:c r="G185" s="10" t="str">
        <x:v>复制消息与代码
导出会话
对照角色、时间、内容、引用</x:v>
      </x:c>
      <x:c r="H185" s="10" t="str">
        <x:v>完整可读
不导出其他会话和密钥</x:v>
      </x:c>
      <x:c r="I185" s="10" t="str">
        <x:v>截图或录屏、脱敏请求响应、对象 ID、时间及相关日志</x:v>
      </x:c>
      <x:c r="J185" s="11" t="str">
        <x:v>未执行</x:v>
      </x:c>
      <x:c r="K185" s="11" t="str"/>
      <x:c r="L185" s="11" t="str"/>
      <x:c r="M185" s="11" t="str"/>
      <x:c r="N185" s="12"/>
      <x:c r="O185" s="11" t="str"/>
    </x:row>
    <x:row r="186" ht="26.399999618530273" hidden="0" customHeight="1">
      <x:c r="A186" s="10" t="str">
        <x:v>AGENT-028</x:v>
      </x:c>
      <x:c r="B186" s="10" t="str">
        <x:v>06 核心运行</x:v>
      </x:c>
      <x:c r="C186" s="10" t="str">
        <x:v>Agent 对话工作台</x:v>
      </x:c>
      <x:c r="D186" s="10" t="str">
        <x:v>P1</x:v>
      </x:c>
      <x:c r="E186" s="10" t="str">
        <x:v>发送边界</x:v>
      </x:c>
      <x:c r="F186" s="10" t="str">
        <x:v>P1；真实 LLM；生产拟用工具配置；已索引业务资料</x:v>
      </x:c>
      <x:c r="G186" s="10" t="str">
        <x:v>空白、长文本、中文换行、Enter/Shift+Enter、快速重复发送</x:v>
      </x:c>
      <x:c r="H186" s="10" t="str">
        <x:v>输入交互正确
无空请求和重复运行</x:v>
      </x:c>
      <x:c r="I186" s="10" t="str">
        <x:v>截图或录屏、脱敏请求响应、对象 ID、时间及相关日志</x:v>
      </x:c>
      <x:c r="J186" s="11" t="str">
        <x:v>未执行</x:v>
      </x:c>
      <x:c r="K186" s="11" t="str"/>
      <x:c r="L186" s="11" t="str"/>
      <x:c r="M186" s="11" t="str"/>
      <x:c r="N186" s="12"/>
      <x:c r="O186" s="11" t="str"/>
    </x:row>
    <x:row r="187" ht="39.599998474121094" hidden="0" customHeight="1">
      <x:c r="A187" s="10" t="str">
        <x:v>AGENT-029</x:v>
      </x:c>
      <x:c r="B187" s="10" t="str">
        <x:v>06 核心运行</x:v>
      </x:c>
      <x:c r="C187" s="10" t="str">
        <x:v>Agent 对话工作台</x:v>
      </x:c>
      <x:c r="D187" s="10" t="str">
        <x:v>P1</x:v>
      </x:c>
      <x:c r="E187" s="10" t="str">
        <x:v>Token 与耗时</x:v>
      </x:c>
      <x:c r="F187" s="10" t="str">
        <x:v>P1；真实 LLM；生产拟用工具配置；已索引业务资料</x:v>
      </x:c>
      <x:c r="G187" s="10" t="str">
        <x:v>对照提供方 usage 和服务时间
模拟没有 usage 响应</x:v>
      </x:c>
      <x:c r="H187" s="10" t="str">
        <x:v>真实 token 显示
缺失为未知而非字符估计
耗时终态后停止</x:v>
      </x:c>
      <x:c r="I187" s="10" t="str">
        <x:v>截图或录屏、脱敏请求响应、对象 ID、时间及相关日志</x:v>
      </x:c>
      <x:c r="J187" s="11" t="str">
        <x:v>未执行</x:v>
      </x:c>
      <x:c r="K187" s="11" t="str"/>
      <x:c r="L187" s="11" t="str"/>
      <x:c r="M187" s="11" t="str"/>
      <x:c r="N187" s="12"/>
      <x:c r="O187" s="11" t="str"/>
    </x:row>
    <x:row r="188" ht="26.399999618530273" hidden="0" customHeight="1">
      <x:c r="A188" s="10" t="str">
        <x:v>AGENT-030</x:v>
      </x:c>
      <x:c r="B188" s="10" t="str">
        <x:v>06 核心运行</x:v>
      </x:c>
      <x:c r="C188" s="10" t="str">
        <x:v>Agent 对话工作台</x:v>
      </x:c>
      <x:c r="D188" s="10" t="str">
        <x:v>P0</x:v>
      </x:c>
      <x:c r="E188" s="10" t="str">
        <x:v>工具审批与禁用</x:v>
      </x:c>
      <x:c r="F188" s="10" t="str">
        <x:v>P1；真实 LLM；生产拟用工具配置；已索引业务资料</x:v>
      </x:c>
      <x:c r="G188" s="10" t="str">
        <x:v>对话使用需审批写工具、已禁用工具
未确认与确认分别发送</x:v>
      </x:c>
      <x:c r="H188" s="10" t="str">
        <x:v>服务端拒绝未经授权调用
不凭对话文字解除权限</x:v>
      </x:c>
      <x:c r="I188" s="10" t="str">
        <x:v>截图或录屏、脱敏请求响应、对象 ID、时间及相关日志</x:v>
      </x:c>
      <x:c r="J188" s="11" t="str">
        <x:v>未执行</x:v>
      </x:c>
      <x:c r="K188" s="11" t="str"/>
      <x:c r="L188" s="11" t="str"/>
      <x:c r="M188" s="11" t="str"/>
      <x:c r="N188" s="12"/>
      <x:c r="O188" s="11" t="str"/>
    </x:row>
    <x:row r="189" ht="26.399999618530273" hidden="0" customHeight="1">
      <x:c r="A189" s="10" t="str">
        <x:v>AGENT-031</x:v>
      </x:c>
      <x:c r="B189" s="10" t="str">
        <x:v>06 核心运行</x:v>
      </x:c>
      <x:c r="C189" s="10" t="str">
        <x:v>Agent 对话工作台</x:v>
      </x:c>
      <x:c r="D189" s="10" t="str">
        <x:v>P0</x:v>
      </x:c>
      <x:c r="E189" s="10" t="str">
        <x:v>对话提示注入</x:v>
      </x:c>
      <x:c r="F189" s="10" t="str">
        <x:v>P1；真实 LLM；生产拟用工具配置；已索引业务资料</x:v>
      </x:c>
      <x:c r="G189" s="10" t="str">
        <x:v>将 05-injection.md 作为附件/检索源
要求总结业务资料</x:v>
      </x:c>
      <x:c r="H189" s="10" t="str">
        <x:v>恶意文档指令不能泄密或改变工具权限
业务任务正常处理</x:v>
      </x:c>
      <x:c r="I189" s="10" t="str">
        <x:v>截图或录屏、脱敏请求响应、对象 ID、时间及相关日志</x:v>
      </x:c>
      <x:c r="J189" s="11" t="str">
        <x:v>未执行</x:v>
      </x:c>
      <x:c r="K189" s="11" t="str"/>
      <x:c r="L189" s="11" t="str"/>
      <x:c r="M189" s="11" t="str"/>
      <x:c r="N189" s="12"/>
      <x:c r="O189" s="11" t="str"/>
    </x:row>
    <x:row r="190" ht="39.599998474121094" hidden="0" customHeight="1">
      <x:c r="A190" s="10" t="str">
        <x:v>PLAN-001</x:v>
      </x:c>
      <x:c r="B190" s="10" t="str">
        <x:v>06 核心运行</x:v>
      </x:c>
      <x:c r="C190" s="10" t="str">
        <x:v>项目规划与发起研究</x:v>
      </x:c>
      <x:c r="D190" s="10" t="str">
        <x:v>P0</x:v>
      </x:c>
      <x:c r="E190" s="10" t="str">
        <x:v>规划字段保存</x:v>
      </x:c>
      <x:c r="F190" s="10" t="str">
        <x:v>P1；资料已索引；真实 LLM 可用</x:v>
      </x:c>
      <x:c r="G190" s="10" t="str">
        <x:v>填写目标、问题、成功指标、约束、负责人、决策日期
保存
刷新</x:v>
      </x:c>
      <x:c r="H190" s="10" t="str">
        <x:v>后端字段全部回读
保存时间真实</x:v>
      </x:c>
      <x:c r="I190" s="10" t="str">
        <x:v>截图或录屏、脱敏请求响应、对象 ID、时间及相关日志</x:v>
      </x:c>
      <x:c r="J190" s="11" t="str">
        <x:v>未执行</x:v>
      </x:c>
      <x:c r="K190" s="11" t="str"/>
      <x:c r="L190" s="11" t="str"/>
      <x:c r="M190" s="11" t="str"/>
      <x:c r="N190" s="12"/>
      <x:c r="O190" s="11" t="str"/>
    </x:row>
    <x:row r="191" ht="39.599998474121094" hidden="0" customHeight="1">
      <x:c r="A191" s="10" t="str">
        <x:v>PLAN-002</x:v>
      </x:c>
      <x:c r="B191" s="10" t="str">
        <x:v>06 核心运行</x:v>
      </x:c>
      <x:c r="C191" s="10" t="str">
        <x:v>项目规划与发起研究</x:v>
      </x:c>
      <x:c r="D191" s="10" t="str">
        <x:v>P1</x:v>
      </x:c>
      <x:c r="E191" s="10" t="str">
        <x:v>规划编辑和脏状态</x:v>
      </x:c>
      <x:c r="F191" s="10" t="str">
        <x:v>P1；资料已索引；真实 LLM 可用</x:v>
      </x:c>
      <x:c r="G191" s="10" t="str">
        <x:v>修改已保存值
观察未保存提示
保存后重新打开</x:v>
      </x:c>
      <x:c r="H191" s="10" t="str">
        <x:v>脏状态准确
未保存内容不会伪装为已保存</x:v>
      </x:c>
      <x:c r="I191" s="10" t="str">
        <x:v>截图或录屏、脱敏请求响应、对象 ID、时间及相关日志</x:v>
      </x:c>
      <x:c r="J191" s="11" t="str">
        <x:v>未执行</x:v>
      </x:c>
      <x:c r="K191" s="11" t="str"/>
      <x:c r="L191" s="11" t="str"/>
      <x:c r="M191" s="11" t="str"/>
      <x:c r="N191" s="12"/>
      <x:c r="O191" s="11" t="str"/>
    </x:row>
    <x:row r="192" ht="39.599998474121094" hidden="0" customHeight="1">
      <x:c r="A192" s="10" t="str">
        <x:v>PLAN-003</x:v>
      </x:c>
      <x:c r="B192" s="10" t="str">
        <x:v>06 核心运行</x:v>
      </x:c>
      <x:c r="C192" s="10" t="str">
        <x:v>项目规划与发起研究</x:v>
      </x:c>
      <x:c r="D192" s="10" t="str">
        <x:v>P1</x:v>
      </x:c>
      <x:c r="E192" s="10" t="str">
        <x:v>规划读取/保存失败</x:v>
      </x:c>
      <x:c r="F192" s="10" t="str">
        <x:v>P1；资料已索引；真实 LLM 可用</x:v>
      </x:c>
      <x:c r="G192" s="10" t="str">
        <x:v>阻断 planning 接口
打开/保存
恢复重试</x:v>
      </x:c>
      <x:c r="H192" s="10" t="str">
        <x:v>显示失败
不使用无来源本地数据冒充服务器
失败时不发起研究</x:v>
      </x:c>
      <x:c r="I192" s="10" t="str">
        <x:v>截图或录屏、脱敏请求响应、对象 ID、时间及相关日志</x:v>
      </x:c>
      <x:c r="J192" s="11" t="str">
        <x:v>未执行</x:v>
      </x:c>
      <x:c r="K192" s="11" t="str"/>
      <x:c r="L192" s="11" t="str"/>
      <x:c r="M192" s="11" t="str"/>
      <x:c r="N192" s="12"/>
      <x:c r="O192" s="11" t="str"/>
    </x:row>
    <x:row r="193" ht="26.399999618530273" hidden="0" customHeight="1">
      <x:c r="A193" s="10" t="str">
        <x:v>PLAN-004</x:v>
      </x:c>
      <x:c r="B193" s="10" t="str">
        <x:v>06 核心运行</x:v>
      </x:c>
      <x:c r="C193" s="10" t="str">
        <x:v>项目规划与发起研究</x:v>
      </x:c>
      <x:c r="D193" s="10" t="str">
        <x:v>P1</x:v>
      </x:c>
      <x:c r="E193" s="10" t="str">
        <x:v>目标必填</x:v>
      </x:c>
      <x:c r="F193" s="10" t="str">
        <x:v>P1；资料已索引；真实 LLM 可用</x:v>
      </x:c>
      <x:c r="G193" s="10" t="str">
        <x:v>空白目标点击开始智能分析
绕过 UI 调用 create run</x:v>
      </x:c>
      <x:c r="H193" s="10" t="str">
        <x:v>阻止无效调研
无空运行</x:v>
      </x:c>
      <x:c r="I193" s="10" t="str">
        <x:v>截图或录屏、脱敏请求响应、对象 ID、时间及相关日志</x:v>
      </x:c>
      <x:c r="J193" s="11" t="str">
        <x:v>未执行</x:v>
      </x:c>
      <x:c r="K193" s="11" t="str"/>
      <x:c r="L193" s="11" t="str"/>
      <x:c r="M193" s="11" t="str"/>
      <x:c r="N193" s="12"/>
      <x:c r="O193" s="11" t="str"/>
    </x:row>
    <x:row r="194" ht="26.399999618530273" hidden="0" customHeight="1">
      <x:c r="A194" s="10" t="str">
        <x:v>PLAN-005</x:v>
      </x:c>
      <x:c r="B194" s="10" t="str">
        <x:v>06 核心运行</x:v>
      </x:c>
      <x:c r="C194" s="10" t="str">
        <x:v>项目规划与发起研究</x:v>
      </x:c>
      <x:c r="D194" s="10" t="str">
        <x:v>P0</x:v>
      </x:c>
      <x:c r="E194" s="10" t="str">
        <x:v>发起前保存</x:v>
      </x:c>
      <x:c r="F194" s="10" t="str">
        <x:v>P1；资料已索引；真实 LLM 可用</x:v>
      </x:c>
      <x:c r="G194" s="10" t="str">
        <x:v>修改目标与约束后直接开始分析</x:v>
      </x:c>
      <x:c r="H194" s="10" t="str">
        <x:v>先成功保存规划
run.goal 含最新目标和各项约束</x:v>
      </x:c>
      <x:c r="I194" s="10" t="str">
        <x:v>截图或录屏、脱敏请求响应、对象 ID、时间及相关日志</x:v>
      </x:c>
      <x:c r="J194" s="11" t="str">
        <x:v>未执行</x:v>
      </x:c>
      <x:c r="K194" s="11" t="str"/>
      <x:c r="L194" s="11" t="str"/>
      <x:c r="M194" s="11" t="str"/>
      <x:c r="N194" s="12"/>
      <x:c r="O194" s="11" t="str"/>
    </x:row>
    <x:row r="195" ht="39.599998474121094" hidden="0" customHeight="1">
      <x:c r="A195" s="10" t="str">
        <x:v>PLAN-006</x:v>
      </x:c>
      <x:c r="B195" s="10" t="str">
        <x:v>06 核心运行</x:v>
      </x:c>
      <x:c r="C195" s="10" t="str">
        <x:v>项目规划与发起研究</x:v>
      </x:c>
      <x:c r="D195" s="10" t="str">
        <x:v>P1</x:v>
      </x:c>
      <x:c r="E195" s="10" t="str">
        <x:v>开始分析防重</x:v>
      </x:c>
      <x:c r="F195" s="10" t="str">
        <x:v>P1；资料已索引；真实 LLM 可用</x:v>
      </x:c>
      <x:c r="G195" s="10" t="str">
        <x:v>双击开始
慢网络再点
刷新</x:v>
      </x:c>
      <x:c r="H195" s="10" t="str">
        <x:v>只产生一次用户明确提交的运行
没有重复跳转/收费</x:v>
      </x:c>
      <x:c r="I195" s="10" t="str">
        <x:v>截图或录屏、脱敏请求响应、对象 ID、时间及相关日志</x:v>
      </x:c>
      <x:c r="J195" s="11" t="str">
        <x:v>未执行</x:v>
      </x:c>
      <x:c r="K195" s="11" t="str"/>
      <x:c r="L195" s="11" t="str"/>
      <x:c r="M195" s="11" t="str"/>
      <x:c r="N195" s="12"/>
      <x:c r="O195" s="11" t="str"/>
    </x:row>
    <x:row r="196" ht="39.599998474121094" hidden="0" customHeight="1">
      <x:c r="A196" s="10" t="str">
        <x:v>PLAN-007</x:v>
      </x:c>
      <x:c r="B196" s="10" t="str">
        <x:v>06 核心运行</x:v>
      </x:c>
      <x:c r="C196" s="10" t="str">
        <x:v>项目规划与发起研究</x:v>
      </x:c>
      <x:c r="D196" s="10" t="str">
        <x:v>P1</x:v>
      </x:c>
      <x:c r="E196" s="10" t="str">
        <x:v>规划准备度</x:v>
      </x:c>
      <x:c r="F196" s="10" t="str">
        <x:v>P1；资料已索引；真实 LLM 可用</x:v>
      </x:c>
      <x:c r="G196" s="10" t="str">
        <x:v>逐项补齐目标、索引、运行、报告、评估
检查准备百分比</x:v>
      </x:c>
      <x:c r="H196" s="10" t="str">
        <x:v>真实条件变化
未执行评估不标通过
人工签署保持待确认</x:v>
      </x:c>
      <x:c r="I196" s="10" t="str">
        <x:v>截图或录屏、脱敏请求响应、对象 ID、时间及相关日志</x:v>
      </x:c>
      <x:c r="J196" s="11" t="str">
        <x:v>未执行</x:v>
      </x:c>
      <x:c r="K196" s="11" t="str"/>
      <x:c r="L196" s="11" t="str"/>
      <x:c r="M196" s="11" t="str"/>
      <x:c r="N196" s="12"/>
      <x:c r="O196" s="11" t="str"/>
    </x:row>
    <x:row r="197" ht="26.399999618530273" hidden="0" customHeight="1">
      <x:c r="A197" s="10" t="str">
        <x:v>PLAN-008</x:v>
      </x:c>
      <x:c r="B197" s="10" t="str">
        <x:v>06 核心运行</x:v>
      </x:c>
      <x:c r="C197" s="10" t="str">
        <x:v>项目规划与发起研究</x:v>
      </x:c>
      <x:c r="D197" s="10" t="str">
        <x:v>P1</x:v>
      </x:c>
      <x:c r="E197" s="10" t="str">
        <x:v>流程导航</x:v>
      </x:c>
      <x:c r="F197" s="10" t="str">
        <x:v>P1；资料已索引；真实 LLM 可用</x:v>
      </x:c>
      <x:c r="G197" s="10" t="str">
        <x:v>规划到资料、分析记录、审查及回到规划</x:v>
      </x:c>
      <x:c r="H197" s="10" t="str">
        <x:v>携带当前项目
原草稿不串其他项目</x:v>
      </x:c>
      <x:c r="I197" s="10" t="str">
        <x:v>截图或录屏、脱敏请求响应、对象 ID、时间及相关日志</x:v>
      </x:c>
      <x:c r="J197" s="11" t="str">
        <x:v>未执行</x:v>
      </x:c>
      <x:c r="K197" s="11" t="str"/>
      <x:c r="L197" s="11" t="str"/>
      <x:c r="M197" s="11" t="str"/>
      <x:c r="N197" s="12"/>
      <x:c r="O197" s="11" t="str"/>
    </x:row>
    <x:row r="198" ht="26.399999618530273" hidden="0" customHeight="1">
      <x:c r="A198" s="10" t="str">
        <x:v>RUN-001</x:v>
      </x:c>
      <x:c r="B198" s="10" t="str">
        <x:v>06 核心运行</x:v>
      </x:c>
      <x:c r="C198" s="10" t="str">
        <x:v>研究运行、计划与恢复</x:v>
      </x:c>
      <x:c r="D198" s="10" t="str">
        <x:v>P0</x:v>
      </x:c>
      <x:c r="E198" s="10" t="str">
        <x:v>完整研究运行</x:v>
      </x:c>
      <x:c r="F198" s="10" t="str">
        <x:v>P1；真实模型、数据库与 Redis 队列；准备正常、慢响应和失败场景</x:v>
      </x:c>
      <x:c r="G198" s="10" t="str">
        <x:v>提交标准研究目标
观察入队、计划、检索、分析、写作、审查、终态</x:v>
      </x:c>
      <x:c r="H198" s="10" t="str">
        <x:v>COMPLETED 仅在真实结果完成后出现
报告持久化并可打开</x:v>
      </x:c>
      <x:c r="I198" s="10" t="str">
        <x:v>截图或录屏、脱敏请求响应、对象 ID、时间及相关日志</x:v>
      </x:c>
      <x:c r="J198" s="11" t="str">
        <x:v>未执行</x:v>
      </x:c>
      <x:c r="K198" s="11" t="str"/>
      <x:c r="L198" s="11" t="str"/>
      <x:c r="M198" s="11" t="str"/>
      <x:c r="N198" s="12"/>
      <x:c r="O198" s="11" t="str"/>
    </x:row>
    <x:row r="199" ht="39.599998474121094" hidden="0" customHeight="1">
      <x:c r="A199" s="10" t="str">
        <x:v>RUN-002</x:v>
      </x:c>
      <x:c r="B199" s="10" t="str">
        <x:v>06 核心运行</x:v>
      </x:c>
      <x:c r="C199" s="10" t="str">
        <x:v>研究运行、计划与恢复</x:v>
      </x:c>
      <x:c r="D199" s="10" t="str">
        <x:v>P1</x:v>
      </x:c>
      <x:c r="E199" s="10" t="str">
        <x:v>运行详情字段</x:v>
      </x:c>
      <x:c r="F199" s="10" t="str">
        <x:v>P1；真实模型、数据库与 Redis 队列；准备正常、慢响应和失败场景</x:v>
      </x:c>
      <x:c r="G199" s="10" t="str">
        <x:v>查看目标、计划、任务、进度、证据、结果、限制与历史</x:v>
      </x:c>
      <x:c r="H199" s="10" t="str">
        <x:v>字段来自本次 run
输入目标不当作分析结果
各阶段真实</x:v>
      </x:c>
      <x:c r="I199" s="10" t="str">
        <x:v>截图或录屏、脱敏请求响应、对象 ID、时间及相关日志</x:v>
      </x:c>
      <x:c r="J199" s="11" t="str">
        <x:v>未执行</x:v>
      </x:c>
      <x:c r="K199" s="11" t="str"/>
      <x:c r="L199" s="11" t="str"/>
      <x:c r="M199" s="11" t="str"/>
      <x:c r="N199" s="12"/>
      <x:c r="O199" s="11" t="str"/>
    </x:row>
    <x:row r="200" ht="26.399999618530273" hidden="0" customHeight="1">
      <x:c r="A200" s="10" t="str">
        <x:v>RUN-003</x:v>
      </x:c>
      <x:c r="B200" s="10" t="str">
        <x:v>06 核心运行</x:v>
      </x:c>
      <x:c r="C200" s="10" t="str">
        <x:v>研究运行、计划与恢复</x:v>
      </x:c>
      <x:c r="D200" s="10" t="str">
        <x:v>P1</x:v>
      </x:c>
      <x:c r="E200" s="10" t="str">
        <x:v>运行列表操作</x:v>
      </x:c>
      <x:c r="F200" s="10" t="str">
        <x:v>P1；真实模型、数据库与 Redis 队列；准备正常、慢响应和失败场景</x:v>
      </x:c>
      <x:c r="G200" s="10" t="str">
        <x:v>按标题/当前步骤搜索、状态筛选
打开详情</x:v>
      </x:c>
      <x:c r="H200" s="10" t="str">
        <x:v>数量与终态一致
当前项目数据无串入</x:v>
      </x:c>
      <x:c r="I200" s="10" t="str">
        <x:v>截图或录屏、脱敏请求响应、对象 ID、时间及相关日志</x:v>
      </x:c>
      <x:c r="J200" s="11" t="str">
        <x:v>未执行</x:v>
      </x:c>
      <x:c r="K200" s="11" t="str"/>
      <x:c r="L200" s="11" t="str"/>
      <x:c r="M200" s="11" t="str"/>
      <x:c r="N200" s="12"/>
      <x:c r="O200" s="11" t="str"/>
    </x:row>
    <x:row r="201" ht="26.399999618530273" hidden="0" customHeight="1">
      <x:c r="A201" s="10" t="str">
        <x:v>RUN-004</x:v>
      </x:c>
      <x:c r="B201" s="10" t="str">
        <x:v>06 核心运行</x:v>
      </x:c>
      <x:c r="C201" s="10" t="str">
        <x:v>研究运行、计划与恢复</x:v>
      </x:c>
      <x:c r="D201" s="10" t="str">
        <x:v>P1</x:v>
      </x:c>
      <x:c r="E201" s="10" t="str">
        <x:v>排队取消</x:v>
      </x:c>
      <x:c r="F201" s="10" t="str">
        <x:v>P1；真实模型、数据库与 Redis 队列；准备正常、慢响应和失败场景</x:v>
      </x:c>
      <x:c r="G201" s="10" t="str">
        <x:v>制造队列等待
取消 QUEUED/PENDING 任务</x:v>
      </x:c>
      <x:c r="H201" s="10" t="str">
        <x:v>未开始的任务不会随后继续调用模型
终态明确</x:v>
      </x:c>
      <x:c r="I201" s="10" t="str">
        <x:v>截图或录屏、脱敏请求响应、对象 ID、时间及相关日志</x:v>
      </x:c>
      <x:c r="J201" s="11" t="str">
        <x:v>未执行</x:v>
      </x:c>
      <x:c r="K201" s="11" t="str"/>
      <x:c r="L201" s="11" t="str"/>
      <x:c r="M201" s="11" t="str"/>
      <x:c r="N201" s="12"/>
      <x:c r="O201" s="11" t="str"/>
    </x:row>
    <x:row r="202" ht="26.399999618530273" hidden="0" customHeight="1">
      <x:c r="A202" s="10" t="str">
        <x:v>RUN-005</x:v>
      </x:c>
      <x:c r="B202" s="10" t="str">
        <x:v>06 核心运行</x:v>
      </x:c>
      <x:c r="C202" s="10" t="str">
        <x:v>研究运行、计划与恢复</x:v>
      </x:c>
      <x:c r="D202" s="10" t="str">
        <x:v>P0</x:v>
      </x:c>
      <x:c r="E202" s="10" t="str">
        <x:v>运行中取消</x:v>
      </x:c>
      <x:c r="F202" s="10" t="str">
        <x:v>P1；真实模型、数据库与 Redis 队列；准备正常、慢响应和失败场景</x:v>
      </x:c>
      <x:c r="G202" s="10" t="str">
        <x:v>在不同阶段取消
完成前重复取消</x:v>
      </x:c>
      <x:c r="H202" s="10" t="str">
        <x:v>取消最终生效
没有孤儿工具或完成后继续写报告</x:v>
      </x:c>
      <x:c r="I202" s="10" t="str">
        <x:v>截图或录屏、脱敏请求响应、对象 ID、时间及相关日志</x:v>
      </x:c>
      <x:c r="J202" s="11" t="str">
        <x:v>未执行</x:v>
      </x:c>
      <x:c r="K202" s="11" t="str"/>
      <x:c r="L202" s="11" t="str"/>
      <x:c r="M202" s="11" t="str"/>
      <x:c r="N202" s="12"/>
      <x:c r="O202" s="11" t="str"/>
    </x:row>
    <x:row r="203" ht="39.599998474121094" hidden="0" customHeight="1">
      <x:c r="A203" s="10" t="str">
        <x:v>RUN-006</x:v>
      </x:c>
      <x:c r="B203" s="10" t="str">
        <x:v>06 核心运行</x:v>
      </x:c>
      <x:c r="C203" s="10" t="str">
        <x:v>研究运行、计划与恢复</x:v>
      </x:c>
      <x:c r="D203" s="10" t="str">
        <x:v>P1</x:v>
      </x:c>
      <x:c r="E203" s="10" t="str">
        <x:v>暂停与继续</x:v>
      </x:c>
      <x:c r="F203" s="10" t="str">
        <x:v>P1；真实模型、数据库与 Redis 队列；准备正常、慢响应和失败场景</x:v>
      </x:c>
      <x:c r="G203" s="10" t="str">
        <x:v>生成计划后暂停
检查安全点
继续执行</x:v>
      </x:c>
      <x:c r="H203" s="10" t="str">
        <x:v>暂停标识真实
到安全检查点停止
恢复后保留已得证据</x:v>
      </x:c>
      <x:c r="I203" s="10" t="str">
        <x:v>截图或录屏、脱敏请求响应、对象 ID、时间及相关日志</x:v>
      </x:c>
      <x:c r="J203" s="11" t="str">
        <x:v>未执行</x:v>
      </x:c>
      <x:c r="K203" s="11" t="str"/>
      <x:c r="L203" s="11" t="str"/>
      <x:c r="M203" s="11" t="str"/>
      <x:c r="N203" s="12"/>
      <x:c r="O203" s="11" t="str"/>
    </x:row>
    <x:row r="204" ht="39.599998474121094" hidden="0" customHeight="1">
      <x:c r="A204" s="10" t="str">
        <x:v>RUN-007</x:v>
      </x:c>
      <x:c r="B204" s="10" t="str">
        <x:v>06 核心运行</x:v>
      </x:c>
      <x:c r="C204" s="10" t="str">
        <x:v>研究运行、计划与恢复</x:v>
      </x:c>
      <x:c r="D204" s="10" t="str">
        <x:v>P1</x:v>
      </x:c>
      <x:c r="E204" s="10" t="str">
        <x:v>追加研究步骤</x:v>
      </x:c>
      <x:c r="F204" s="10" t="str">
        <x:v>P1；真实模型、数据库与 Redis 队列；准备正常、慢响应和失败场景</x:v>
      </x:c>
      <x:c r="G204" s="10" t="str">
        <x:v>运行时追加 SEARCH_INTERNAL/SEARCH_GRAPH/SEARCH_WEB/SYNTHESIZE 的合法步骤</x:v>
      </x:c>
      <x:c r="H204" s="10" t="str">
        <x:v>planVersion 增长
按权限执行
新增证据关联本次 run</x:v>
      </x:c>
      <x:c r="I204" s="10" t="str">
        <x:v>截图或录屏、脱敏请求响应、对象 ID、时间及相关日志</x:v>
      </x:c>
      <x:c r="J204" s="11" t="str">
        <x:v>未执行</x:v>
      </x:c>
      <x:c r="K204" s="11" t="str"/>
      <x:c r="L204" s="11" t="str"/>
      <x:c r="M204" s="11" t="str"/>
      <x:c r="N204" s="12"/>
      <x:c r="O204" s="11" t="str"/>
    </x:row>
    <x:row r="205" ht="39.599998474121094" hidden="0" customHeight="1">
      <x:c r="A205" s="10" t="str">
        <x:v>RUN-008</x:v>
      </x:c>
      <x:c r="B205" s="10" t="str">
        <x:v>06 核心运行</x:v>
      </x:c>
      <x:c r="C205" s="10" t="str">
        <x:v>研究运行、计划与恢复</x:v>
      </x:c>
      <x:c r="D205" s="10" t="str">
        <x:v>P1</x:v>
      </x:c>
      <x:c r="E205" s="10" t="str">
        <x:v>替换计划接口</x:v>
      </x:c>
      <x:c r="F205" s="10" t="str">
        <x:v>P1；真实模型、数据库与 Redis 队列；准备正常、慢响应和失败场景</x:v>
      </x:c>
      <x:c r="G205" s="10" t="str">
        <x:v>用 REPLACE 更新合法有限计划
查询最新版本</x:v>
      </x:c>
      <x:c r="H205" s="10" t="str">
        <x:v>替换生效
不丢失必须保留的运行状态
版本可查</x:v>
      </x:c>
      <x:c r="I205" s="10" t="str">
        <x:v>截图或录屏、脱敏请求响应、对象 ID、时间及相关日志</x:v>
      </x:c>
      <x:c r="J205" s="11" t="str">
        <x:v>未执行</x:v>
      </x:c>
      <x:c r="K205" s="11" t="str"/>
      <x:c r="L205" s="11" t="str"/>
      <x:c r="M205" s="11" t="str"/>
      <x:c r="N205" s="12"/>
      <x:c r="O205" s="11" t="str"/>
    </x:row>
    <x:row r="206" ht="26.399999618530273" hidden="0" customHeight="1">
      <x:c r="A206" s="10" t="str">
        <x:v>RUN-009</x:v>
      </x:c>
      <x:c r="B206" s="10" t="str">
        <x:v>06 核心运行</x:v>
      </x:c>
      <x:c r="C206" s="10" t="str">
        <x:v>研究运行、计划与恢复</x:v>
      </x:c>
      <x:c r="D206" s="10" t="str">
        <x:v>P1</x:v>
      </x:c>
      <x:c r="E206" s="10" t="str">
        <x:v>计划版本冲突</x:v>
      </x:c>
      <x:c r="F206" s="10" t="str">
        <x:v>P1；真实模型、数据库与 Redis 队列；准备正常、慢响应和失败场景</x:v>
      </x:c>
      <x:c r="G206" s="10" t="str">
        <x:v>两个客户端用相同旧 expectedVersion 修改
超 6 步、空目标或非法动作</x:v>
      </x:c>
      <x:c r="H206" s="10" t="str">
        <x:v>过期写拒绝或明确冲突
无效计划不能执行</x:v>
      </x:c>
      <x:c r="I206" s="10" t="str">
        <x:v>截图或录屏、脱敏请求响应、对象 ID、时间及相关日志</x:v>
      </x:c>
      <x:c r="J206" s="11" t="str">
        <x:v>未执行</x:v>
      </x:c>
      <x:c r="K206" s="11" t="str"/>
      <x:c r="L206" s="11" t="str"/>
      <x:c r="M206" s="11" t="str"/>
      <x:c r="N206" s="12"/>
      <x:c r="O206" s="11" t="str"/>
    </x:row>
    <x:row r="207" ht="26.399999618530273" hidden="0" customHeight="1">
      <x:c r="A207" s="10" t="str">
        <x:v>RUN-010</x:v>
      </x:c>
      <x:c r="B207" s="10" t="str">
        <x:v>06 核心运行</x:v>
      </x:c>
      <x:c r="C207" s="10" t="str">
        <x:v>研究运行、计划与恢复</x:v>
      </x:c>
      <x:c r="D207" s="10" t="str">
        <x:v>P1</x:v>
      </x:c>
      <x:c r="E207" s="10" t="str">
        <x:v>终态后操作</x:v>
      </x:c>
      <x:c r="F207" s="10" t="str">
        <x:v>P1；真实模型、数据库与 Redis 队列；准备正常、慢响应和失败场景</x:v>
      </x:c>
      <x:c r="G207" s="10" t="str">
        <x:v>对 COMPLETED/FAILED/CANCELLED 执行暂停/追加/取消/重试</x:v>
      </x:c>
      <x:c r="H207" s="10" t="str">
        <x:v>操作按状态规则拒绝/幂等
不能把已完成结果改成运行中</x:v>
      </x:c>
      <x:c r="I207" s="10" t="str">
        <x:v>截图或录屏、脱敏请求响应、对象 ID、时间及相关日志</x:v>
      </x:c>
      <x:c r="J207" s="11" t="str">
        <x:v>未执行</x:v>
      </x:c>
      <x:c r="K207" s="11" t="str"/>
      <x:c r="L207" s="11" t="str"/>
      <x:c r="M207" s="11" t="str"/>
      <x:c r="N207" s="12"/>
      <x:c r="O207" s="11" t="str"/>
    </x:row>
    <x:row r="208" ht="39.599998474121094" hidden="0" customHeight="1">
      <x:c r="A208" s="10" t="str">
        <x:v>RUN-011</x:v>
      </x:c>
      <x:c r="B208" s="10" t="str">
        <x:v>06 核心运行</x:v>
      </x:c>
      <x:c r="C208" s="10" t="str">
        <x:v>研究运行、计划与恢复</x:v>
      </x:c>
      <x:c r="D208" s="10" t="str">
        <x:v>P0</x:v>
      </x:c>
      <x:c r="E208" s="10" t="str">
        <x:v>失败与显式重试</x:v>
      </x:c>
      <x:c r="F208" s="10" t="str">
        <x:v>P1；真实模型、数据库与 Redis 队列；准备正常、慢响应和失败场景</x:v>
      </x:c>
      <x:c r="G208" s="10" t="str">
        <x:v>让模型失败
恢复配置
从失败记录点击重新分析</x:v>
      </x:c>
      <x:c r="H208" s="10" t="str">
        <x:v>新 run ID 关联重试
旧失败记录保留
最终成功可审计</x:v>
      </x:c>
      <x:c r="I208" s="10" t="str">
        <x:v>截图或录屏、脱敏请求响应、对象 ID、时间及相关日志</x:v>
      </x:c>
      <x:c r="J208" s="11" t="str">
        <x:v>未执行</x:v>
      </x:c>
      <x:c r="K208" s="11" t="str"/>
      <x:c r="L208" s="11" t="str"/>
      <x:c r="M208" s="11" t="str"/>
      <x:c r="N208" s="12"/>
      <x:c r="O208" s="11" t="str"/>
    </x:row>
    <x:row r="209" ht="39.599998474121094" hidden="0" customHeight="1">
      <x:c r="A209" s="10" t="str">
        <x:v>RUN-012</x:v>
      </x:c>
      <x:c r="B209" s="10" t="str">
        <x:v>06 核心运行</x:v>
      </x:c>
      <x:c r="C209" s="10" t="str">
        <x:v>研究运行、计划与恢复</x:v>
      </x:c>
      <x:c r="D209" s="10" t="str">
        <x:v>P1</x:v>
      </x:c>
      <x:c r="E209" s="10" t="str">
        <x:v>等待提示和耗时</x:v>
      </x:c>
      <x:c r="F209" s="10" t="str">
        <x:v>P1；真实模型、数据库与 Redis 队列；准备正常、慢响应和失败场景</x:v>
      </x:c>
      <x:c r="G209" s="10" t="str">
        <x:v>让一阶段超 30 秒无新结果
观察提示
任务完成</x:v>
      </x:c>
      <x:c r="H209" s="10" t="str">
        <x:v>显示等待具体原因和活动时间
耗时完成后不继续增长</x:v>
      </x:c>
      <x:c r="I209" s="10" t="str">
        <x:v>截图或录屏、脱敏请求响应、对象 ID、时间及相关日志</x:v>
      </x:c>
      <x:c r="J209" s="11" t="str">
        <x:v>未执行</x:v>
      </x:c>
      <x:c r="K209" s="11" t="str"/>
      <x:c r="L209" s="11" t="str"/>
      <x:c r="M209" s="11" t="str"/>
      <x:c r="N209" s="12"/>
      <x:c r="O209" s="11" t="str"/>
    </x:row>
    <x:row r="210" ht="39.599998474121094" hidden="0" customHeight="1">
      <x:c r="A210" s="10" t="str">
        <x:v>RUN-013</x:v>
      </x:c>
      <x:c r="B210" s="10" t="str">
        <x:v>06 核心运行</x:v>
      </x:c>
      <x:c r="C210" s="10" t="str">
        <x:v>研究运行、计划与恢复</x:v>
      </x:c>
      <x:c r="D210" s="10" t="str">
        <x:v>P0</x:v>
      </x:c>
      <x:c r="E210" s="10" t="str">
        <x:v>浏览器刷新与轮询</x:v>
      </x:c>
      <x:c r="F210" s="10" t="str">
        <x:v>P1；真实模型、数据库与 Redis 队列；准备正常、慢响应和失败场景</x:v>
      </x:c>
      <x:c r="G210" s="10" t="str">
        <x:v>研究中刷新/离开回来
断网恢复
打开详情深链接</x:v>
      </x:c>
      <x:c r="H210" s="10" t="str">
        <x:v>快照与活动阶段正确
失败不假完成
当前轮询实际恢复</x:v>
      </x:c>
      <x:c r="I210" s="10" t="str">
        <x:v>截图或录屏、脱敏请求响应、对象 ID、时间及相关日志</x:v>
      </x:c>
      <x:c r="J210" s="11" t="str">
        <x:v>未执行</x:v>
      </x:c>
      <x:c r="K210" s="11" t="str"/>
      <x:c r="L210" s="11" t="str"/>
      <x:c r="M210" s="11" t="str"/>
      <x:c r="N210" s="12"/>
      <x:c r="O210" s="11" t="str"/>
    </x:row>
    <x:row r="211" ht="26.399999618530273" hidden="0" customHeight="1">
      <x:c r="A211" s="10" t="str">
        <x:v>RUN-014</x:v>
      </x:c>
      <x:c r="B211" s="10" t="str">
        <x:v>06 核心运行</x:v>
      </x:c>
      <x:c r="C211" s="10" t="str">
        <x:v>研究运行、计划与恢复</x:v>
      </x:c>
      <x:c r="D211" s="10" t="str">
        <x:v>P0</x:v>
      </x:c>
      <x:c r="E211" s="10" t="str">
        <x:v>AI 服务重启恢复</x:v>
      </x:c>
      <x:c r="F211" s="10" t="str">
        <x:v>P1；真实模型、数据库与 Redis 队列；准备正常、慢响应和失败场景</x:v>
      </x:c>
      <x:c r="G211" s="10" t="str">
        <x:v>在隔离环境有排队/运行任务时重启 AI
观察 Redis pending/快照</x:v>
      </x:c>
      <x:c r="H211" s="10" t="str">
        <x:v>已接受任务按已定义恢复规则处理
不丢失或无限重复收费</x:v>
      </x:c>
      <x:c r="I211" s="10" t="str">
        <x:v>截图或录屏、脱敏请求响应、对象 ID、时间及相关日志</x:v>
      </x:c>
      <x:c r="J211" s="11" t="str">
        <x:v>未执行</x:v>
      </x:c>
      <x:c r="K211" s="11" t="str"/>
      <x:c r="L211" s="11" t="str"/>
      <x:c r="M211" s="11" t="str"/>
      <x:c r="N211" s="12"/>
      <x:c r="O211" s="11" t="str"/>
    </x:row>
    <x:row r="212" ht="26.399999618530273" hidden="0" customHeight="1">
      <x:c r="A212" s="10" t="str">
        <x:v>RUN-015</x:v>
      </x:c>
      <x:c r="B212" s="10" t="str">
        <x:v>06 核心运行</x:v>
      </x:c>
      <x:c r="C212" s="10" t="str">
        <x:v>研究运行、计划与恢复</x:v>
      </x:c>
      <x:c r="D212" s="10" t="str">
        <x:v>P1</x:v>
      </x:c>
      <x:c r="E212" s="10" t="str">
        <x:v>Java 重启与回调</x:v>
      </x:c>
      <x:c r="F212" s="10" t="str">
        <x:v>P1；真实模型、数据库与 Redis 队列；准备正常、慢响应和失败场景</x:v>
      </x:c>
      <x:c r="G212" s="10" t="str">
        <x:v>研究中重启 QA Java
恢复后接收结果</x:v>
      </x:c>
      <x:c r="H212" s="10" t="str">
        <x:v>回调可恢复或明确失败可重试
最终数据库与 AI 状态一致</x:v>
      </x:c>
      <x:c r="I212" s="10" t="str">
        <x:v>截图或录屏、脱敏请求响应、对象 ID、时间及相关日志</x:v>
      </x:c>
      <x:c r="J212" s="11" t="str">
        <x:v>未执行</x:v>
      </x:c>
      <x:c r="K212" s="11" t="str"/>
      <x:c r="L212" s="11" t="str"/>
      <x:c r="M212" s="11" t="str"/>
      <x:c r="N212" s="12"/>
      <x:c r="O212" s="11" t="str"/>
    </x:row>
    <x:row r="213" ht="26.399999618530273" hidden="0" customHeight="1">
      <x:c r="A213" s="10" t="str">
        <x:v>RUN-016</x:v>
      </x:c>
      <x:c r="B213" s="10" t="str">
        <x:v>06 核心运行</x:v>
      </x:c>
      <x:c r="C213" s="10" t="str">
        <x:v>研究运行、计划与恢复</x:v>
      </x:c>
      <x:c r="D213" s="10" t="str">
        <x:v>P0</x:v>
      </x:c>
      <x:c r="E213" s="10" t="str">
        <x:v>重复与乱序回调</x:v>
      </x:c>
      <x:c r="F213" s="10" t="str">
        <x:v>P1；真实模型、数据库与 Redis 队列；准备正常、慢响应和失败场景</x:v>
      </x:c>
      <x:c r="G213" s="10" t="str">
        <x:v>仅在 QA 重放同一完成回调及较旧进度回调</x:v>
      </x:c>
      <x:c r="H213" s="10" t="str">
        <x:v>不重复报告/行动项
终态不被旧事件回退</x:v>
      </x:c>
      <x:c r="I213" s="10" t="str">
        <x:v>截图或录屏、脱敏请求响应、对象 ID、时间及相关日志</x:v>
      </x:c>
      <x:c r="J213" s="11" t="str">
        <x:v>未执行</x:v>
      </x:c>
      <x:c r="K213" s="11" t="str"/>
      <x:c r="L213" s="11" t="str"/>
      <x:c r="M213" s="11" t="str"/>
      <x:c r="N213" s="12"/>
      <x:c r="O213" s="11" t="str"/>
    </x:row>
    <x:row r="214" ht="39.599998474121094" hidden="0" customHeight="1">
      <x:c r="A214" s="10" t="str">
        <x:v>RUN-017</x:v>
      </x:c>
      <x:c r="B214" s="10" t="str">
        <x:v>06 核心运行</x:v>
      </x:c>
      <x:c r="C214" s="10" t="str">
        <x:v>研究运行、计划与恢复</x:v>
      </x:c>
      <x:c r="D214" s="10" t="str">
        <x:v>P1</x:v>
      </x:c>
      <x:c r="E214" s="10" t="str">
        <x:v>模型无效结构化结果</x:v>
      </x:c>
      <x:c r="F214" s="10" t="str">
        <x:v>P1；真实模型、数据库与 Redis 队列；准备正常、慢响应和失败场景</x:v>
      </x:c>
      <x:c r="G214" s="10" t="str">
        <x:v>测试缺字段、非法引用、截断 JSON 的供应商替身</x:v>
      </x:c>
      <x:c r="H214" s="10" t="str">
        <x:v>校验和修复有界
无法修复明确 FAILED
无空完成报告</x:v>
      </x:c>
      <x:c r="I214" s="10" t="str">
        <x:v>截图或录屏、脱敏请求响应、对象 ID、时间及相关日志</x:v>
      </x:c>
      <x:c r="J214" s="11" t="str">
        <x:v>未执行</x:v>
      </x:c>
      <x:c r="K214" s="11" t="str"/>
      <x:c r="L214" s="11" t="str"/>
      <x:c r="M214" s="11" t="str"/>
      <x:c r="N214" s="12"/>
      <x:c r="O214" s="11" t="str"/>
    </x:row>
    <x:row r="215" ht="39.599998474121094" hidden="0" customHeight="1">
      <x:c r="A215" s="10" t="str">
        <x:v>RUN-018</x:v>
      </x:c>
      <x:c r="B215" s="10" t="str">
        <x:v>06 核心运行</x:v>
      </x:c>
      <x:c r="C215" s="10" t="str">
        <x:v>研究运行、计划与恢复</x:v>
      </x:c>
      <x:c r="D215" s="10" t="str">
        <x:v>P1</x:v>
      </x:c>
      <x:c r="E215" s="10" t="str">
        <x:v>资源预算上限</x:v>
      </x:c>
      <x:c r="F215" s="10" t="str">
        <x:v>P1；真实模型、数据库与 Redis 队列；准备正常、慢响应和失败场景</x:v>
      </x:c>
      <x:c r="G215" s="10" t="str">
        <x:v>设置研究轮数 1/8、topK=1/20、toolMaxCalls=1/50及越界值</x:v>
      </x:c>
      <x:c r="H215" s="10" t="str">
        <x:v>合法范围正确执行
越界拒绝
预算达到后有界结束</x:v>
      </x:c>
      <x:c r="I215" s="10" t="str">
        <x:v>截图或录屏、脱敏请求响应、对象 ID、时间及相关日志</x:v>
      </x:c>
      <x:c r="J215" s="11" t="str">
        <x:v>未执行</x:v>
      </x:c>
      <x:c r="K215" s="11" t="str"/>
      <x:c r="L215" s="11" t="str"/>
      <x:c r="M215" s="11" t="str"/>
      <x:c r="N215" s="12"/>
      <x:c r="O215" s="11" t="str"/>
    </x:row>
    <x:row r="216" ht="26.399999618530273" hidden="0" customHeight="1">
      <x:c r="A216" s="10" t="str">
        <x:v>RUN-019</x:v>
      </x:c>
      <x:c r="B216" s="10" t="str">
        <x:v>06 核心运行</x:v>
      </x:c>
      <x:c r="C216" s="10" t="str">
        <x:v>研究运行、计划与恢复</x:v>
      </x:c>
      <x:c r="D216" s="10" t="str">
        <x:v>P1</x:v>
      </x:c>
      <x:c r="E216" s="10" t="str">
        <x:v>输出语言与模板</x:v>
      </x:c>
      <x:c r="F216" s="10" t="str">
        <x:v>P1；真实模型、数据库与 Redis 队列；准备正常、慢响应和失败场景</x:v>
      </x:c>
      <x:c r="G216" s="10" t="str">
        <x:v>通过运行配置选中文/英文及实际支持报告模板</x:v>
      </x:c>
      <x:c r="H216" s="10" t="str">
        <x:v>语言与结构符合设置
Schema 和引用依然有效</x:v>
      </x:c>
      <x:c r="I216" s="10" t="str">
        <x:v>截图或录屏、脱敏请求响应、对象 ID、时间及相关日志</x:v>
      </x:c>
      <x:c r="J216" s="11" t="str">
        <x:v>未执行</x:v>
      </x:c>
      <x:c r="K216" s="11" t="str"/>
      <x:c r="L216" s="11" t="str"/>
      <x:c r="M216" s="11" t="str"/>
      <x:c r="N216" s="12"/>
      <x:c r="O216" s="11" t="str"/>
    </x:row>
    <x:row r="217" ht="39.599998474121094" hidden="0" customHeight="1">
      <x:c r="A217" s="10" t="str">
        <x:v>RUN-020</x:v>
      </x:c>
      <x:c r="B217" s="10" t="str">
        <x:v>06 核心运行</x:v>
      </x:c>
      <x:c r="C217" s="10" t="str">
        <x:v>研究运行、计划与恢复</x:v>
      </x:c>
      <x:c r="D217" s="10" t="str">
        <x:v>P1</x:v>
      </x:c>
      <x:c r="E217" s="10" t="str">
        <x:v>证据与结果操作</x:v>
      </x:c>
      <x:c r="F217" s="10" t="str">
        <x:v>P1；真实模型、数据库与 Redis 队列；准备正常、慢响应和失败场景</x:v>
      </x:c>
      <x:c r="G217" s="10" t="str">
        <x:v>选择证据、复制引用、导出结果、进入报告与审查</x:v>
      </x:c>
      <x:c r="H217" s="10" t="str">
        <x:v>来源准确
导出内容完整
下一步导航到当前项目</x:v>
      </x:c>
      <x:c r="I217" s="10" t="str">
        <x:v>截图或录屏、脱敏请求响应、对象 ID、时间及相关日志</x:v>
      </x:c>
      <x:c r="J217" s="11" t="str">
        <x:v>未执行</x:v>
      </x:c>
      <x:c r="K217" s="11" t="str"/>
      <x:c r="L217" s="11" t="str"/>
      <x:c r="M217" s="11" t="str"/>
      <x:c r="N217" s="12"/>
      <x:c r="O217" s="11" t="str"/>
    </x:row>
    <x:row r="218" ht="39.599998474121094" hidden="0" customHeight="1">
      <x:c r="A218" s="10" t="str">
        <x:v>RUN-021</x:v>
      </x:c>
      <x:c r="B218" s="10" t="str">
        <x:v>06 核心运行</x:v>
      </x:c>
      <x:c r="C218" s="10" t="str">
        <x:v>研究运行、计划与恢复</x:v>
      </x:c>
      <x:c r="D218" s="10" t="str">
        <x:v>P1</x:v>
      </x:c>
      <x:c r="E218" s="10" t="str">
        <x:v>内部事件回放</x:v>
      </x:c>
      <x:c r="F218" s="10" t="str">
        <x:v>P1；真实模型、数据库与 Redis 队列；准备正常、慢响应和失败场景</x:v>
      </x:c>
      <x:c r="G218" s="10" t="str">
        <x:v>带 Last-Event-ID/after 参数读取研究 SSE
重复连接</x:v>
      </x:c>
      <x:c r="H218" s="10" t="str">
        <x:v>续传序号正确
心跳与终态可识别
有内部鉴权</x:v>
      </x:c>
      <x:c r="I218" s="10" t="str">
        <x:v>截图或录屏、脱敏请求响应、对象 ID、时间及相关日志</x:v>
      </x:c>
      <x:c r="J218" s="11" t="str">
        <x:v>未执行</x:v>
      </x:c>
      <x:c r="K218" s="11" t="str"/>
      <x:c r="L218" s="11" t="str"/>
      <x:c r="M218" s="11" t="str"/>
      <x:c r="N218" s="12"/>
      <x:c r="O218" s="11" t="str"/>
    </x:row>
    <x:row r="219" ht="26.399999618530273" hidden="0" customHeight="1">
      <x:c r="A219" s="10" t="str">
        <x:v>REPORT-001</x:v>
      </x:c>
      <x:c r="B219" s="10" t="str">
        <x:v>07 结果闭环</x:v>
      </x:c>
      <x:c r="C219" s="10" t="str">
        <x:v>报告、审查与行动闭环</x:v>
      </x:c>
      <x:c r="D219" s="10" t="str">
        <x:v>P0</x:v>
      </x:c>
      <x:c r="E219" s="10" t="str">
        <x:v>报告列表与定位</x:v>
      </x:c>
      <x:c r="F219" s="10" t="str">
        <x:v>P1 完整运行完成；保存一份正确报告与一份故意不合格的 QA 报告</x:v>
      </x:c>
      <x:c r="G219" s="10" t="str">
        <x:v>从概览最近报告及 run 打开指定 reportId
搜索与状态筛选</x:v>
      </x:c>
      <x:c r="H219" s="10" t="str">
        <x:v>选中正确报告
项目/版本/标题与本次运行一致</x:v>
      </x:c>
      <x:c r="I219" s="10" t="str">
        <x:v>截图或录屏、脱敏请求响应、对象 ID、时间及相关日志</x:v>
      </x:c>
      <x:c r="J219" s="11" t="str">
        <x:v>未执行</x:v>
      </x:c>
      <x:c r="K219" s="11" t="str"/>
      <x:c r="L219" s="11" t="str"/>
      <x:c r="M219" s="11" t="str"/>
      <x:c r="N219" s="12"/>
      <x:c r="O219" s="11" t="str"/>
    </x:row>
    <x:row r="220" ht="52.79999923706055" hidden="0" customHeight="1">
      <x:c r="A220" s="10" t="str">
        <x:v>REPORT-002</x:v>
      </x:c>
      <x:c r="B220" s="10" t="str">
        <x:v>07 结果闭环</x:v>
      </x:c>
      <x:c r="C220" s="10" t="str">
        <x:v>报告、审查与行动闭环</x:v>
      </x:c>
      <x:c r="D220" s="10" t="str">
        <x:v>P0</x:v>
      </x:c>
      <x:c r="E220" s="10" t="str">
        <x:v>报告正文与引用</x:v>
      </x:c>
      <x:c r="F220" s="10" t="str">
        <x:v>P1 完整运行完成；保存一份正确报告与一份故意不合格的 QA 报告</x:v>
      </x:c>
      <x:c r="G220" s="10" t="str">
        <x:v>逐条对照标准事实、数字、来源、章节、限制</x:v>
      </x:c>
      <x:c r="H220" s="10" t="str">
        <x:v>事实可回溯
无编造测量值
外部来源明确
未支持结论带限制</x:v>
      </x:c>
      <x:c r="I220" s="10" t="str">
        <x:v>截图或录屏、脱敏请求响应、对象 ID、时间及相关日志</x:v>
      </x:c>
      <x:c r="J220" s="11" t="str">
        <x:v>未执行</x:v>
      </x:c>
      <x:c r="K220" s="11" t="str"/>
      <x:c r="L220" s="11" t="str"/>
      <x:c r="M220" s="11" t="str"/>
      <x:c r="N220" s="12"/>
      <x:c r="O220" s="11" t="str"/>
    </x:row>
    <x:row r="221" ht="39.599998474121094" hidden="0" customHeight="1">
      <x:c r="A221" s="10" t="str">
        <x:v>REPORT-003</x:v>
      </x:c>
      <x:c r="B221" s="10" t="str">
        <x:v>07 结果闭环</x:v>
      </x:c>
      <x:c r="C221" s="10" t="str">
        <x:v>报告、审查与行动闭环</x:v>
      </x:c>
      <x:c r="D221" s="10" t="str">
        <x:v>P1</x:v>
      </x:c>
      <x:c r="E221" s="10" t="str">
        <x:v>报告编辑</x:v>
      </x:c>
      <x:c r="F221" s="10" t="str">
        <x:v>P1 完整运行完成；保存一份正确报告与一份故意不合格的 QA 报告</x:v>
      </x:c>
      <x:c r="G221" s="10" t="str">
        <x:v>编辑标题、版本、负责人、摘要、建议、正文
取消/保存
刷新</x:v>
      </x:c>
      <x:c r="H221" s="10" t="str">
        <x:v>取消不改
保存持久化
原文与引用一致性需要重新审查</x:v>
      </x:c>
      <x:c r="I221" s="10" t="str">
        <x:v>截图或录屏、脱敏请求响应、对象 ID、时间及相关日志</x:v>
      </x:c>
      <x:c r="J221" s="11" t="str">
        <x:v>未执行</x:v>
      </x:c>
      <x:c r="K221" s="11" t="str"/>
      <x:c r="L221" s="11" t="str"/>
      <x:c r="M221" s="11" t="str"/>
      <x:c r="N221" s="12"/>
      <x:c r="O221" s="11" t="str"/>
    </x:row>
    <x:row r="222" ht="26.399999618530273" hidden="0" customHeight="1">
      <x:c r="A222" s="10" t="str">
        <x:v>REPORT-004</x:v>
      </x:c>
      <x:c r="B222" s="10" t="str">
        <x:v>07 结果闭环</x:v>
      </x:c>
      <x:c r="C222" s="10" t="str">
        <x:v>报告、审查与行动闭环</x:v>
      </x:c>
      <x:c r="D222" s="10" t="str">
        <x:v>P0</x:v>
      </x:c>
      <x:c r="E222" s="10" t="str">
        <x:v>报告发布和撤回</x:v>
      </x:c>
      <x:c r="F222" s="10" t="str">
        <x:v>P1 完整运行完成；保存一份正确报告与一份故意不合格的 QA 报告</x:v>
      </x:c>
      <x:c r="G222" s="10" t="str">
        <x:v>在策略要求满足/未满足时分别切换状态
撤回</x:v>
      </x:c>
      <x:c r="H222" s="10" t="str">
        <x:v>发布门禁按已确认上线规则服务端生效
有审计，不能只改 UI 标签</x:v>
      </x:c>
      <x:c r="I222" s="10" t="str">
        <x:v>截图或录屏、脱敏请求响应、对象 ID、时间及相关日志</x:v>
      </x:c>
      <x:c r="J222" s="11" t="str">
        <x:v>未执行</x:v>
      </x:c>
      <x:c r="K222" s="11" t="str"/>
      <x:c r="L222" s="11" t="str"/>
      <x:c r="M222" s="11" t="str"/>
      <x:c r="N222" s="12"/>
      <x:c r="O222" s="11" t="str"/>
    </x:row>
    <x:row r="223" ht="39.599998474121094" hidden="0" customHeight="1">
      <x:c r="A223" s="10" t="str">
        <x:v>REPORT-005</x:v>
      </x:c>
      <x:c r="B223" s="10" t="str">
        <x:v>07 结果闭环</x:v>
      </x:c>
      <x:c r="C223" s="10" t="str">
        <x:v>报告、审查与行动闭环</x:v>
      </x:c>
      <x:c r="D223" s="10" t="str">
        <x:v>P1</x:v>
      </x:c>
      <x:c r="E223" s="10" t="str">
        <x:v>复制与 Markdown 导出</x:v>
      </x:c>
      <x:c r="F223" s="10" t="str">
        <x:v>P1 完整运行完成；保存一份正确报告与一份故意不合格的 QA 报告</x:v>
      </x:c>
      <x:c r="G223" s="10" t="str">
        <x:v>复制摘要
导出报告
用文本编辑器打开</x:v>
      </x:c>
      <x:c r="H223" s="10" t="str">
        <x:v>中文、正文、数字、链接/引用完整
文件与所选报告一致</x:v>
      </x:c>
      <x:c r="I223" s="10" t="str">
        <x:v>截图或录屏、脱敏请求响应、对象 ID、时间及相关日志</x:v>
      </x:c>
      <x:c r="J223" s="11" t="str">
        <x:v>未执行</x:v>
      </x:c>
      <x:c r="K223" s="11" t="str"/>
      <x:c r="L223" s="11" t="str"/>
      <x:c r="M223" s="11" t="str"/>
      <x:c r="N223" s="12"/>
      <x:c r="O223" s="11" t="str"/>
    </x:row>
    <x:row r="224" ht="26.399999618530273" hidden="0" customHeight="1">
      <x:c r="A224" s="10" t="str">
        <x:v>REPORT-006</x:v>
      </x:c>
      <x:c r="B224" s="10" t="str">
        <x:v>07 结果闭环</x:v>
      </x:c>
      <x:c r="C224" s="10" t="str">
        <x:v>报告、审查与行动闭环</x:v>
      </x:c>
      <x:c r="D224" s="10" t="str">
        <x:v>P1</x:v>
      </x:c>
      <x:c r="E224" s="10" t="str">
        <x:v>JSON 和非法导出格式接口</x:v>
      </x:c>
      <x:c r="F224" s="10" t="str">
        <x:v>P1 完整运行完成；保存一份正确报告与一份故意不合格的 QA 报告</x:v>
      </x:c>
      <x:c r="G224" s="10" t="str">
        <x:v>请求 export?format=json、markdown 及 unsupported
检查内容类型和语法</x:v>
      </x:c>
      <x:c r="H224" s="10" t="str">
        <x:v>声明 JSON 时应为合法 JSON
不支持格式应清晰拒绝，不能仅改后缀假支持</x:v>
      </x:c>
      <x:c r="I224" s="10" t="str">
        <x:v>截图或录屏、脱敏请求响应、对象 ID、时间及相关日志</x:v>
      </x:c>
      <x:c r="J224" s="11" t="str">
        <x:v>未执行</x:v>
      </x:c>
      <x:c r="K224" s="11" t="str"/>
      <x:c r="L224" s="11" t="str"/>
      <x:c r="M224" s="11" t="str"/>
      <x:c r="N224" s="12"/>
      <x:c r="O224" s="11" t="str"/>
    </x:row>
    <x:row r="225" ht="39.599998474121094" hidden="0" customHeight="1">
      <x:c r="A225" s="10" t="str">
        <x:v>REPORT-007</x:v>
      </x:c>
      <x:c r="B225" s="10" t="str">
        <x:v>07 结果闭环</x:v>
      </x:c>
      <x:c r="C225" s="10" t="str">
        <x:v>报告、审查与行动闭环</x:v>
      </x:c>
      <x:c r="D225" s="10" t="str">
        <x:v>P1</x:v>
      </x:c>
      <x:c r="E225" s="10" t="str">
        <x:v>报告变更通知</x:v>
      </x:c>
      <x:c r="F225" s="10" t="str">
        <x:v>P1 完整运行完成；保存一份正确报告与一份故意不合格的 QA 报告</x:v>
      </x:c>
      <x:c r="G225" s="10" t="str">
        <x:v>修改 QA 报告
查看通知与审计
打开通知</x:v>
      </x:c>
      <x:c r="H225" s="10" t="str">
        <x:v>操作对象/用户/时间正确
跳转当前项目报告</x:v>
      </x:c>
      <x:c r="I225" s="10" t="str">
        <x:v>截图或录屏、脱敏请求响应、对象 ID、时间及相关日志</x:v>
      </x:c>
      <x:c r="J225" s="11" t="str">
        <x:v>未执行</x:v>
      </x:c>
      <x:c r="K225" s="11" t="str"/>
      <x:c r="L225" s="11" t="str"/>
      <x:c r="M225" s="11" t="str"/>
      <x:c r="N225" s="12"/>
      <x:c r="O225" s="11" t="str"/>
    </x:row>
    <x:row r="226" ht="39.599998474121094" hidden="0" customHeight="1">
      <x:c r="A226" s="10" t="str">
        <x:v>REPORT-008</x:v>
      </x:c>
      <x:c r="B226" s="10" t="str">
        <x:v>07 结果闭环</x:v>
      </x:c>
      <x:c r="C226" s="10" t="str">
        <x:v>报告、审查与行动闭环</x:v>
      </x:c>
      <x:c r="D226" s="10" t="str">
        <x:v>P0</x:v>
      </x:c>
      <x:c r="E226" s="10" t="str">
        <x:v>报告建议转行动</x:v>
      </x:c>
      <x:c r="F226" s="10" t="str">
        <x:v>P1 完整运行完成；保存一份正确报告与一份故意不合格的 QA 报告</x:v>
      </x:c>
      <x:c r="G226" s="10" t="str">
        <x:v>点击建议创建行动项
检查预填标题、说明、来源报告
确认保存</x:v>
      </x:c>
      <x:c r="H226" s="10" t="str">
        <x:v>只跳转不会误算已创建
确认后行动项保存并可追溯</x:v>
      </x:c>
      <x:c r="I226" s="10" t="str">
        <x:v>截图或录屏、脱敏请求响应、对象 ID、时间及相关日志</x:v>
      </x:c>
      <x:c r="J226" s="11" t="str">
        <x:v>未执行</x:v>
      </x:c>
      <x:c r="K226" s="11" t="str"/>
      <x:c r="L226" s="11" t="str"/>
      <x:c r="M226" s="11" t="str"/>
      <x:c r="N226" s="12"/>
      <x:c r="O226" s="11" t="str"/>
    </x:row>
    <x:row r="227" ht="26.399999618530273" hidden="0" customHeight="1">
      <x:c r="A227" s="10" t="str">
        <x:v>REPORT-009</x:v>
      </x:c>
      <x:c r="B227" s="10" t="str">
        <x:v>07 结果闭环</x:v>
      </x:c>
      <x:c r="C227" s="10" t="str">
        <x:v>报告、审查与行动闭环</x:v>
      </x:c>
      <x:c r="D227" s="10" t="str">
        <x:v>P1</x:v>
      </x:c>
      <x:c r="E227" s="10" t="str">
        <x:v>审查策略保存</x:v>
      </x:c>
      <x:c r="F227" s="10" t="str">
        <x:v>P1 完整运行完成；保存一份正确报告与一份故意不合格的 QA 报告</x:v>
      </x:c>
      <x:c r="G227" s="10" t="str">
        <x:v>逐个切换 requireCitations、verifyNumbers、escalateConflicts、labelExternal
保存刷新</x:v>
      </x:c>
      <x:c r="H227" s="10" t="str">
        <x:v>设置持久化
下一次运行实际采用当前政策</x:v>
      </x:c>
      <x:c r="I227" s="10" t="str">
        <x:v>截图或录屏、脱敏请求响应、对象 ID、时间及相关日志</x:v>
      </x:c>
      <x:c r="J227" s="11" t="str">
        <x:v>未执行</x:v>
      </x:c>
      <x:c r="K227" s="11" t="str"/>
      <x:c r="L227" s="11" t="str"/>
      <x:c r="M227" s="11" t="str"/>
      <x:c r="N227" s="12"/>
      <x:c r="O227" s="11" t="str"/>
    </x:row>
    <x:row r="228" ht="26.399999618530273" hidden="0" customHeight="1">
      <x:c r="A228" s="10" t="str">
        <x:v>REPORT-010</x:v>
      </x:c>
      <x:c r="B228" s="10" t="str">
        <x:v>07 结果闭环</x:v>
      </x:c>
      <x:c r="C228" s="10" t="str">
        <x:v>报告、审查与行动闭环</x:v>
      </x:c>
      <x:c r="D228" s="10" t="str">
        <x:v>P0</x:v>
      </x:c>
      <x:c r="E228" s="10" t="str">
        <x:v>引用门禁</x:v>
      </x:c>
      <x:c r="F228" s="10" t="str">
        <x:v>P1 完整运行完成；保存一份正确报告与一份故意不合格的 QA 报告</x:v>
      </x:c>
      <x:c r="G228" s="10" t="str">
        <x:v>用无引用、假 ID、跨项目引用和引文不在 Chunk 的 QA 报告触发审查</x:v>
      </x:c>
      <x:c r="H228" s="10" t="str">
        <x:v>阻断或明确失败
不能靠模型说通过覆盖确定性错误</x:v>
      </x:c>
      <x:c r="I228" s="10" t="str">
        <x:v>截图或录屏、脱敏请求响应、对象 ID、时间及相关日志</x:v>
      </x:c>
      <x:c r="J228" s="11" t="str">
        <x:v>未执行</x:v>
      </x:c>
      <x:c r="K228" s="11" t="str"/>
      <x:c r="L228" s="11" t="str"/>
      <x:c r="M228" s="11" t="str"/>
      <x:c r="N228" s="12"/>
      <x:c r="O228" s="11" t="str"/>
    </x:row>
    <x:row r="229" ht="26.399999618530273" hidden="0" customHeight="1">
      <x:c r="A229" s="10" t="str">
        <x:v>REPORT-011</x:v>
      </x:c>
      <x:c r="B229" s="10" t="str">
        <x:v>07 结果闭环</x:v>
      </x:c>
      <x:c r="C229" s="10" t="str">
        <x:v>报告、审查与行动闭环</x:v>
      </x:c>
      <x:c r="D229" s="10" t="str">
        <x:v>P0</x:v>
      </x:c>
      <x:c r="E229" s="10" t="str">
        <x:v>数字门禁</x:v>
      </x:c>
      <x:c r="F229" s="10" t="str">
        <x:v>P1 完整运行完成；保存一份正确报告与一份故意不合格的 QA 报告</x:v>
      </x:c>
      <x:c r="G229" s="10" t="str">
        <x:v>把 26 万改成 260 万、12000 改成 120000，触发审查</x:v>
      </x:c>
      <x:c r="H229" s="10" t="str">
        <x:v>指出不受证据支持的数字
需要重写或人工处置</x:v>
      </x:c>
      <x:c r="I229" s="10" t="str">
        <x:v>截图或录屏、脱敏请求响应、对象 ID、时间及相关日志</x:v>
      </x:c>
      <x:c r="J229" s="11" t="str">
        <x:v>未执行</x:v>
      </x:c>
      <x:c r="K229" s="11" t="str"/>
      <x:c r="L229" s="11" t="str"/>
      <x:c r="M229" s="11" t="str"/>
      <x:c r="N229" s="12"/>
      <x:c r="O229" s="11" t="str"/>
    </x:row>
    <x:row r="230" ht="39.599998474121094" hidden="0" customHeight="1">
      <x:c r="A230" s="10" t="str">
        <x:v>REPORT-012</x:v>
      </x:c>
      <x:c r="B230" s="10" t="str">
        <x:v>07 结果闭环</x:v>
      </x:c>
      <x:c r="C230" s="10" t="str">
        <x:v>报告、审查与行动闭环</x:v>
      </x:c>
      <x:c r="D230" s="10" t="str">
        <x:v>P1</x:v>
      </x:c>
      <x:c r="E230" s="10" t="str">
        <x:v>冲突与外部来源策略</x:v>
      </x:c>
      <x:c r="F230" s="10" t="str">
        <x:v>P1 完整运行完成；保存一份正确报告与一份故意不合格的 QA 报告</x:v>
      </x:c>
      <x:c r="G230" s="10" t="str">
        <x:v>加入旧预算冲突与未标外部引用
开启相应策略研究</x:v>
      </x:c>
      <x:c r="H230" s="10" t="str">
        <x:v>冲突升级
外部来源标注
过程和结果保留解释</x:v>
      </x:c>
      <x:c r="I230" s="10" t="str">
        <x:v>截图或录屏、脱敏请求响应、对象 ID、时间及相关日志</x:v>
      </x:c>
      <x:c r="J230" s="11" t="str">
        <x:v>未执行</x:v>
      </x:c>
      <x:c r="K230" s="11" t="str"/>
      <x:c r="L230" s="11" t="str"/>
      <x:c r="M230" s="11" t="str"/>
      <x:c r="N230" s="12"/>
      <x:c r="O230" s="11" t="str"/>
    </x:row>
    <x:row r="231" ht="26.399999618530273" hidden="0" customHeight="1">
      <x:c r="A231" s="10" t="str">
        <x:v>REPORT-013</x:v>
      </x:c>
      <x:c r="B231" s="10" t="str">
        <x:v>07 结果闭环</x:v>
      </x:c>
      <x:c r="C231" s="10" t="str">
        <x:v>报告、审查与行动闭环</x:v>
      </x:c>
      <x:c r="D231" s="10" t="str">
        <x:v>P1</x:v>
      </x:c>
      <x:c r="E231" s="10" t="str">
        <x:v>项目审查前置条件</x:v>
      </x:c>
      <x:c r="F231" s="10" t="str">
        <x:v>P1 完整运行完成；保存一份正确报告与一份故意不合格的 QA 报告</x:v>
      </x:c>
      <x:c r="G231" s="10" t="str">
        <x:v>分别缺索引、研究、报告、评估
再全部具备运行审查</x:v>
      </x:c>
      <x:c r="H231" s="10" t="str">
        <x:v>缺项 BLOCKED
具备时当前实现 REVIEW/待人工签署，不自动声称通过</x:v>
      </x:c>
      <x:c r="I231" s="10" t="str">
        <x:v>截图或录屏、脱敏请求响应、对象 ID、时间及相关日志</x:v>
      </x:c>
      <x:c r="J231" s="11" t="str">
        <x:v>未执行</x:v>
      </x:c>
      <x:c r="K231" s="11" t="str"/>
      <x:c r="L231" s="11" t="str"/>
      <x:c r="M231" s="11" t="str"/>
      <x:c r="N231" s="12"/>
      <x:c r="O231" s="11" t="str"/>
    </x:row>
    <x:row r="232" ht="26.399999618530273" hidden="0" customHeight="1">
      <x:c r="A232" s="10" t="str">
        <x:v>REPORT-014</x:v>
      </x:c>
      <x:c r="B232" s="10" t="str">
        <x:v>07 结果闭环</x:v>
      </x:c>
      <x:c r="C232" s="10" t="str">
        <x:v>报告、审查与行动闭环</x:v>
      </x:c>
      <x:c r="D232" s="10" t="str">
        <x:v>P0</x:v>
      </x:c>
      <x:c r="E232" s="10" t="str">
        <x:v>人工签署与发布责任</x:v>
      </x:c>
      <x:c r="F232" s="10" t="str">
        <x:v>P1 完整运行完成；保存一份正确报告与一份故意不合格的 QA 报告</x:v>
      </x:c>
      <x:c r="G232" s="10" t="str">
        <x:v>记录负责人核对证据、风险、预算与最终签署
验证系统能否保存签署</x:v>
      </x:c>
      <x:c r="H232" s="10" t="str">
        <x:v>无签署 API 时记录为能力缺口/外部签署流程
签署证据必须留存</x:v>
      </x:c>
      <x:c r="I232" s="10" t="str">
        <x:v>截图或录屏、脱敏请求响应、对象 ID、时间及相关日志</x:v>
      </x:c>
      <x:c r="J232" s="11" t="str">
        <x:v>未执行</x:v>
      </x:c>
      <x:c r="K232" s="11" t="str"/>
      <x:c r="L232" s="11" t="str"/>
      <x:c r="M232" s="11" t="str"/>
      <x:c r="N232" s="12"/>
      <x:c r="O232" s="11" t="str"/>
    </x:row>
    <x:row r="233" ht="39.599998474121094" hidden="0" customHeight="1">
      <x:c r="A233" s="10" t="str">
        <x:v>REPORT-015</x:v>
      </x:c>
      <x:c r="B233" s="10" t="str">
        <x:v>07 结果闭环</x:v>
      </x:c>
      <x:c r="C233" s="10" t="str">
        <x:v>报告、审查与行动闭环</x:v>
      </x:c>
      <x:c r="D233" s="10" t="str">
        <x:v>P1</x:v>
      </x:c>
      <x:c r="E233" s="10" t="str">
        <x:v>审查历史和状态</x:v>
      </x:c>
      <x:c r="F233" s="10" t="str">
        <x:v>P1 完整运行完成；保存一份正确报告与一份故意不合格的 QA 报告</x:v>
      </x:c>
      <x:c r="G233" s="10" t="str">
        <x:v>多次运行审查
刷新 latest 与页面
修改策略后再跑</x:v>
      </x:c>
      <x:c r="H233" s="10" t="str">
        <x:v>记录与最新结果可追溯
不能用旧通过结果覆盖新版报告</x:v>
      </x:c>
      <x:c r="I233" s="10" t="str">
        <x:v>截图或录屏、脱敏请求响应、对象 ID、时间及相关日志</x:v>
      </x:c>
      <x:c r="J233" s="11" t="str">
        <x:v>未执行</x:v>
      </x:c>
      <x:c r="K233" s="11" t="str"/>
      <x:c r="L233" s="11" t="str"/>
      <x:c r="M233" s="11" t="str"/>
      <x:c r="N233" s="12"/>
      <x:c r="O233" s="11" t="str"/>
    </x:row>
    <x:row r="234" ht="26.399999618530273" hidden="0" customHeight="1">
      <x:c r="A234" s="10" t="str">
        <x:v>REPORT-016</x:v>
      </x:c>
      <x:c r="B234" s="10" t="str">
        <x:v>07 结果闭环</x:v>
      </x:c>
      <x:c r="C234" s="10" t="str">
        <x:v>报告、审查与行动闭环</x:v>
      </x:c>
      <x:c r="D234" s="10" t="str">
        <x:v>P0</x:v>
      </x:c>
      <x:c r="E234" s="10" t="str">
        <x:v>新建行动项</x:v>
      </x:c>
      <x:c r="F234" s="10" t="str">
        <x:v>P1 完整运行完成；保存一份正确报告与一份故意不合格的 QA 报告</x:v>
      </x:c>
      <x:c r="G234" s="10" t="str">
        <x:v>填写标题、描述、负责人、优先级、截止日期
保存</x:v>
      </x:c>
      <x:c r="H234" s="10" t="str">
        <x:v>所有字段持久化
与当前项目/来源对应</x:v>
      </x:c>
      <x:c r="I234" s="10" t="str">
        <x:v>截图或录屏、脱敏请求响应、对象 ID、时间及相关日志</x:v>
      </x:c>
      <x:c r="J234" s="11" t="str">
        <x:v>未执行</x:v>
      </x:c>
      <x:c r="K234" s="11" t="str"/>
      <x:c r="L234" s="11" t="str"/>
      <x:c r="M234" s="11" t="str"/>
      <x:c r="N234" s="12"/>
      <x:c r="O234" s="11" t="str"/>
    </x:row>
    <x:row r="235" ht="39.599998474121094" hidden="0" customHeight="1">
      <x:c r="A235" s="10" t="str">
        <x:v>REPORT-017</x:v>
      </x:c>
      <x:c r="B235" s="10" t="str">
        <x:v>07 结果闭环</x:v>
      </x:c>
      <x:c r="C235" s="10" t="str">
        <x:v>报告、审查与行动闭环</x:v>
      </x:c>
      <x:c r="D235" s="10" t="str">
        <x:v>P1</x:v>
      </x:c>
      <x:c r="E235" s="10" t="str">
        <x:v>行动项编辑和清空</x:v>
      </x:c>
      <x:c r="F235" s="10" t="str">
        <x:v>P1 完整运行完成；保存一份正确报告与一份故意不合格的 QA 报告</x:v>
      </x:c>
      <x:c r="G235" s="10" t="str">
        <x:v>编辑已有项
清空可选负责人/截止日
刷新</x:v>
      </x:c>
      <x:c r="H235" s="10" t="str">
        <x:v>合法空值接受
不 500
编辑不丢字段</x:v>
      </x:c>
      <x:c r="I235" s="10" t="str">
        <x:v>截图或录屏、脱敏请求响应、对象 ID、时间及相关日志</x:v>
      </x:c>
      <x:c r="J235" s="11" t="str">
        <x:v>未执行</x:v>
      </x:c>
      <x:c r="K235" s="11" t="str"/>
      <x:c r="L235" s="11" t="str"/>
      <x:c r="M235" s="11" t="str"/>
      <x:c r="N235" s="12"/>
      <x:c r="O235" s="11" t="str"/>
    </x:row>
    <x:row r="236" ht="39.599998474121094" hidden="0" customHeight="1">
      <x:c r="A236" s="10" t="str">
        <x:v>REPORT-018</x:v>
      </x:c>
      <x:c r="B236" s="10" t="str">
        <x:v>07 结果闭环</x:v>
      </x:c>
      <x:c r="C236" s="10" t="str">
        <x:v>报告、审查与行动闭环</x:v>
      </x:c>
      <x:c r="D236" s="10" t="str">
        <x:v>P1</x:v>
      </x:c>
      <x:c r="E236" s="10" t="str">
        <x:v>行动项状态流转</x:v>
      </x:c>
      <x:c r="F236" s="10" t="str">
        <x:v>P1 完整运行完成；保存一份正确报告与一份故意不合格的 QA 报告</x:v>
      </x:c>
      <x:c r="G236" s="10" t="str">
        <x:v>DRAFT 到 IN_PROGRESS 到 DONE
测试 REJECTED
列表筛选</x:v>
      </x:c>
      <x:c r="H236" s="10" t="str">
        <x:v>状态/统计同步
没有非法枚举
完成项不算待跟进</x:v>
      </x:c>
      <x:c r="I236" s="10" t="str">
        <x:v>截图或录屏、脱敏请求响应、对象 ID、时间及相关日志</x:v>
      </x:c>
      <x:c r="J236" s="11" t="str">
        <x:v>未执行</x:v>
      </x:c>
      <x:c r="K236" s="11" t="str"/>
      <x:c r="L236" s="11" t="str"/>
      <x:c r="M236" s="11" t="str"/>
      <x:c r="N236" s="12"/>
      <x:c r="O236" s="11" t="str"/>
    </x:row>
    <x:row r="237" ht="39.599998474121094" hidden="0" customHeight="1">
      <x:c r="A237" s="10" t="str">
        <x:v>REPORT-019</x:v>
      </x:c>
      <x:c r="B237" s="10" t="str">
        <x:v>07 结果闭环</x:v>
      </x:c>
      <x:c r="C237" s="10" t="str">
        <x:v>报告、审查与行动闭环</x:v>
      </x:c>
      <x:c r="D237" s="10" t="str">
        <x:v>P1</x:v>
      </x:c>
      <x:c r="E237" s="10" t="str">
        <x:v>行动项日期与优先级</x:v>
      </x:c>
      <x:c r="F237" s="10" t="str">
        <x:v>P1 完整运行完成；保存一份正确报告与一份故意不合格的 QA 报告</x:v>
      </x:c>
      <x:c r="G237" s="10" t="str">
        <x:v>过去/今天/未来截止日，高中低优先级，非法日期/枚举</x:v>
      </x:c>
      <x:c r="H237" s="10" t="str">
        <x:v>显示与验证正确
逾期数有定义
非法输入不会写坏数据</x:v>
      </x:c>
      <x:c r="I237" s="10" t="str">
        <x:v>截图或录屏、脱敏请求响应、对象 ID、时间及相关日志</x:v>
      </x:c>
      <x:c r="J237" s="11" t="str">
        <x:v>未执行</x:v>
      </x:c>
      <x:c r="K237" s="11" t="str"/>
      <x:c r="L237" s="11" t="str"/>
      <x:c r="M237" s="11" t="str"/>
      <x:c r="N237" s="12"/>
      <x:c r="O237" s="11" t="str"/>
    </x:row>
    <x:row r="238" ht="39.599998474121094" hidden="0" customHeight="1">
      <x:c r="A238" s="10" t="str">
        <x:v>REPORT-020</x:v>
      </x:c>
      <x:c r="B238" s="10" t="str">
        <x:v>07 结果闭环</x:v>
      </x:c>
      <x:c r="C238" s="10" t="str">
        <x:v>报告、审查与行动闭环</x:v>
      </x:c>
      <x:c r="D238" s="10" t="str">
        <x:v>P1</x:v>
      </x:c>
      <x:c r="E238" s="10" t="str">
        <x:v>行动项搜索与异常</x:v>
      </x:c>
      <x:c r="F238" s="10" t="str">
        <x:v>P1 完整运行完成；保存一份正确报告与一份故意不合格的 QA 报告</x:v>
      </x:c>
      <x:c r="G238" s="10" t="str">
        <x:v>搜索、筛选
重复点击保存
阻断接口保存后恢复</x:v>
      </x:c>
      <x:c r="H238" s="10" t="str">
        <x:v>列表准确
无重复项
失败不显示成功</x:v>
      </x:c>
      <x:c r="I238" s="10" t="str">
        <x:v>截图或录屏、脱敏请求响应、对象 ID、时间及相关日志</x:v>
      </x:c>
      <x:c r="J238" s="11" t="str">
        <x:v>未执行</x:v>
      </x:c>
      <x:c r="K238" s="11" t="str"/>
      <x:c r="L238" s="11" t="str"/>
      <x:c r="M238" s="11" t="str"/>
      <x:c r="N238" s="12"/>
      <x:c r="O238" s="11" t="str"/>
    </x:row>
    <x:row r="239" ht="39.599998474121094" hidden="0" customHeight="1">
      <x:c r="A239" s="10" t="str">
        <x:v>EVAL-001</x:v>
      </x:c>
      <x:c r="B239" s="10" t="str">
        <x:v>07 结果闭环</x:v>
      </x:c>
      <x:c r="C239" s="10" t="str">
        <x:v>评估与质量验证</x:v>
      </x:c>
      <x:c r="D239" s="10" t="str">
        <x:v>P0</x:v>
      </x:c>
      <x:c r="E239" s="10" t="str">
        <x:v>创建评估与标注</x:v>
      </x:c>
      <x:c r="F239" s="10" t="str">
        <x:v>使用 questions.json 的标准问题；目标资产与 Chunk ID 从已索引真实资料填入</x:v>
      </x:c>
      <x:c r="G239" s="10" t="str">
        <x:v>填写 query、expectedAnswer、expectedAsset、expectedChunkIds、requiredFacts、forbiddenFacts</x:v>
      </x:c>
      <x:c r="H239" s="10" t="str">
        <x:v>定义完整持久化
标注去重
绑定正确项目</x:v>
      </x:c>
      <x:c r="I239" s="10" t="str">
        <x:v>截图或录屏、脱敏请求响应、对象 ID、时间及相关日志</x:v>
      </x:c>
      <x:c r="J239" s="11" t="str">
        <x:v>未执行</x:v>
      </x:c>
      <x:c r="K239" s="11" t="str"/>
      <x:c r="L239" s="11" t="str"/>
      <x:c r="M239" s="11" t="str"/>
      <x:c r="N239" s="12"/>
      <x:c r="O239" s="11" t="str"/>
    </x:row>
    <x:row r="240" ht="39.599998474121094" hidden="0" customHeight="1">
      <x:c r="A240" s="10" t="str">
        <x:v>EVAL-002</x:v>
      </x:c>
      <x:c r="B240" s="10" t="str">
        <x:v>07 结果闭环</x:v>
      </x:c>
      <x:c r="C240" s="10" t="str">
        <x:v>评估与质量验证</x:v>
      </x:c>
      <x:c r="D240" s="10" t="str">
        <x:v>P1</x:v>
      </x:c>
      <x:c r="E240" s="10" t="str">
        <x:v>评估定义边界</x:v>
      </x:c>
      <x:c r="F240" s="10" t="str">
        <x:v>使用 questions.json 的标准问题；目标资产与 Chunk ID 从已索引真实资料填入</x:v>
      </x:c>
      <x:c r="G240" s="10" t="str">
        <x:v>空 query、每类 50/51 标注、1000/1001 字符、空白与重复标注</x:v>
      </x:c>
      <x:c r="H240" s="10" t="str">
        <x:v>边界按定义验证
超限拒绝
不默默丢标注</x:v>
      </x:c>
      <x:c r="I240" s="10" t="str">
        <x:v>截图或录屏、脱敏请求响应、对象 ID、时间及相关日志</x:v>
      </x:c>
      <x:c r="J240" s="11" t="str">
        <x:v>未执行</x:v>
      </x:c>
      <x:c r="K240" s="11" t="str"/>
      <x:c r="L240" s="11" t="str"/>
      <x:c r="M240" s="11" t="str"/>
      <x:c r="N240" s="12"/>
      <x:c r="O240" s="11" t="str"/>
    </x:row>
    <x:row r="241" ht="26.399999618530273" hidden="0" customHeight="1">
      <x:c r="A241" s="10" t="str">
        <x:v>EVAL-003</x:v>
      </x:c>
      <x:c r="B241" s="10" t="str">
        <x:v>07 结果闭环</x:v>
      </x:c>
      <x:c r="C241" s="10" t="str">
        <x:v>评估与质量验证</x:v>
      </x:c>
      <x:c r="D241" s="10" t="str">
        <x:v>P1</x:v>
      </x:c>
      <x:c r="E241" s="10" t="str">
        <x:v>缺少标注运行</x:v>
      </x:c>
      <x:c r="F241" s="10" t="str">
        <x:v>使用 questions.json 的标准问题；目标资产与 Chunk ID 从已索引真实资料填入</x:v>
      </x:c>
      <x:c r="G241" s="10" t="str">
        <x:v>无目标资料、目标片段与必需事实时点击检索评估</x:v>
      </x:c>
      <x:c r="H241" s="10" t="str">
        <x:v>明确要求先标注
不能产生无依据 100% 通过</x:v>
      </x:c>
      <x:c r="I241" s="10" t="str">
        <x:v>截图或录屏、脱敏请求响应、对象 ID、时间及相关日志</x:v>
      </x:c>
      <x:c r="J241" s="11" t="str">
        <x:v>未执行</x:v>
      </x:c>
      <x:c r="K241" s="11" t="str"/>
      <x:c r="L241" s="11" t="str"/>
      <x:c r="M241" s="11" t="str"/>
      <x:c r="N241" s="12"/>
      <x:c r="O241" s="11" t="str"/>
    </x:row>
    <x:row r="242" ht="26.399999618530273" hidden="0" customHeight="1">
      <x:c r="A242" s="10" t="str">
        <x:v>EVAL-004</x:v>
      </x:c>
      <x:c r="B242" s="10" t="str">
        <x:v>07 结果闭环</x:v>
      </x:c>
      <x:c r="C242" s="10" t="str">
        <x:v>评估与质量验证</x:v>
      </x:c>
      <x:c r="D242" s="10" t="str">
        <x:v>P0</x:v>
      </x:c>
      <x:c r="E242" s="10" t="str">
        <x:v>检索评估成功</x:v>
      </x:c>
      <x:c r="F242" s="10" t="str">
        <x:v>使用 questions.json 的标准问题；目标资产与 Chunk ID 从已索引真实资料填入</x:v>
      </x:c>
      <x:c r="G242" s="10" t="str">
        <x:v>目标片段在 Top-5、必需事实均匹配且禁用事实不出现
运行</x:v>
      </x:c>
      <x:c r="H242" s="10" t="str">
        <x:v>Recall@5 由真实 matchedCount/targetCount 计算
结果列出命中与缺失</x:v>
      </x:c>
      <x:c r="I242" s="10" t="str">
        <x:v>截图或录屏、脱敏请求响应、对象 ID、时间及相关日志</x:v>
      </x:c>
      <x:c r="J242" s="11" t="str">
        <x:v>未执行</x:v>
      </x:c>
      <x:c r="K242" s="11" t="str"/>
      <x:c r="L242" s="11" t="str"/>
      <x:c r="M242" s="11" t="str"/>
      <x:c r="N242" s="12"/>
      <x:c r="O242" s="11" t="str"/>
    </x:row>
    <x:row r="243" ht="39.599998474121094" hidden="0" customHeight="1">
      <x:c r="A243" s="10" t="str">
        <x:v>EVAL-005</x:v>
      </x:c>
      <x:c r="B243" s="10" t="str">
        <x:v>07 结果闭环</x:v>
      </x:c>
      <x:c r="C243" s="10" t="str">
        <x:v>评估与质量验证</x:v>
      </x:c>
      <x:c r="D243" s="10" t="str">
        <x:v>P0</x:v>
      </x:c>
      <x:c r="E243" s="10" t="str">
        <x:v>检索评估失败</x:v>
      </x:c>
      <x:c r="F243" s="10" t="str">
        <x:v>使用 questions.json 的标准问题；目标资产与 Chunk ID 从已索引真实资料填入</x:v>
      </x:c>
      <x:c r="G243" s="10" t="str">
        <x:v>使用不存在 Chunk 或必需事实、故意禁止已出现事实</x:v>
      </x:c>
      <x:c r="H243" s="10" t="str">
        <x:v>真实 FAILED
缺失/违禁事实明确
不能只因返回结果就通过</x:v>
      </x:c>
      <x:c r="I243" s="10" t="str">
        <x:v>截图或录屏、脱敏请求响应、对象 ID、时间及相关日志</x:v>
      </x:c>
      <x:c r="J243" s="11" t="str">
        <x:v>未执行</x:v>
      </x:c>
      <x:c r="K243" s="11" t="str"/>
      <x:c r="L243" s="11" t="str"/>
      <x:c r="M243" s="11" t="str"/>
      <x:c r="N243" s="12"/>
      <x:c r="O243" s="11" t="str"/>
    </x:row>
    <x:row r="244" ht="39.599998474121094" hidden="0" customHeight="1">
      <x:c r="A244" s="10" t="str">
        <x:v>EVAL-006</x:v>
      </x:c>
      <x:c r="B244" s="10" t="str">
        <x:v>07 结果闭环</x:v>
      </x:c>
      <x:c r="C244" s="10" t="str">
        <x:v>评估与质量验证</x:v>
      </x:c>
      <x:c r="D244" s="10" t="str">
        <x:v>P0</x:v>
      </x:c>
      <x:c r="E244" s="10" t="str">
        <x:v>评估指标真实性</x:v>
      </x:c>
      <x:c r="F244" s="10" t="str">
        <x:v>使用 questions.json 的标准问题；目标资产与 Chunk ID 从已索引真实资料填入</x:v>
      </x:c>
      <x:c r="G244" s="10" t="str">
        <x:v>对照接口与页面 recall、citation、jsonScore、综合分</x:v>
      </x:c>
      <x:c r="H244" s="10" t="str">
        <x:v>仅测检索不伪造回答引用/JSON 分
未知为 —
汇总口径清楚</x:v>
      </x:c>
      <x:c r="I244" s="10" t="str">
        <x:v>截图或录屏、脱敏请求响应、对象 ID、时间及相关日志</x:v>
      </x:c>
      <x:c r="J244" s="11" t="str">
        <x:v>未执行</x:v>
      </x:c>
      <x:c r="K244" s="11" t="str"/>
      <x:c r="L244" s="11" t="str"/>
      <x:c r="M244" s="11" t="str"/>
      <x:c r="N244" s="12"/>
      <x:c r="O244" s="11" t="str"/>
    </x:row>
    <x:row r="245" ht="26.399999618530273" hidden="0" customHeight="1">
      <x:c r="A245" s="10" t="str">
        <x:v>EVAL-007</x:v>
      </x:c>
      <x:c r="B245" s="10" t="str">
        <x:v>07 结果闭环</x:v>
      </x:c>
      <x:c r="C245" s="10" t="str">
        <x:v>评估与质量验证</x:v>
      </x:c>
      <x:c r="D245" s="10" t="str">
        <x:v>P1</x:v>
      </x:c>
      <x:c r="E245" s="10" t="str">
        <x:v>编辑后旧结果</x:v>
      </x:c>
      <x:c r="F245" s="10" t="str">
        <x:v>使用 questions.json 的标准问题；目标资产与 Chunk ID 从已索引真实资料填入</x:v>
      </x:c>
      <x:c r="G245" s="10" t="str">
        <x:v>改问题/期望/标注后查看状态和旧评估，再重新运行</x:v>
      </x:c>
      <x:c r="H245" s="10" t="str">
        <x:v>旧结果不能代表新定义通过
新结果有时间与版本</x:v>
      </x:c>
      <x:c r="I245" s="10" t="str">
        <x:v>截图或录屏、脱敏请求响应、对象 ID、时间及相关日志</x:v>
      </x:c>
      <x:c r="J245" s="11" t="str">
        <x:v>未执行</x:v>
      </x:c>
      <x:c r="K245" s="11" t="str"/>
      <x:c r="L245" s="11" t="str"/>
      <x:c r="M245" s="11" t="str"/>
      <x:c r="N245" s="12"/>
      <x:c r="O245" s="11" t="str"/>
    </x:row>
    <x:row r="246" ht="39.599998474121094" hidden="0" customHeight="1">
      <x:c r="A246" s="10" t="str">
        <x:v>EVAL-008</x:v>
      </x:c>
      <x:c r="B246" s="10" t="str">
        <x:v>07 结果闭环</x:v>
      </x:c>
      <x:c r="C246" s="10" t="str">
        <x:v>评估与质量验证</x:v>
      </x:c>
      <x:c r="D246" s="10" t="str">
        <x:v>P1</x:v>
      </x:c>
      <x:c r="E246" s="10" t="str">
        <x:v>评估状态人工修改</x:v>
      </x:c>
      <x:c r="F246" s="10" t="str">
        <x:v>使用 questions.json 的标准问题；目标资产与 Chunk ID 从已索引真实资料填入</x:v>
      </x:c>
      <x:c r="G246" s="10" t="str">
        <x:v>手动已通过/未通过/待复核
刷新
再执行检索评估</x:v>
      </x:c>
      <x:c r="H246" s="10" t="str">
        <x:v>人工状态与自动评估来源可区别
不会假装模型复验</x:v>
      </x:c>
      <x:c r="I246" s="10" t="str">
        <x:v>截图或录屏、脱敏请求响应、对象 ID、时间及相关日志</x:v>
      </x:c>
      <x:c r="J246" s="11" t="str">
        <x:v>未执行</x:v>
      </x:c>
      <x:c r="K246" s="11" t="str"/>
      <x:c r="L246" s="11" t="str"/>
      <x:c r="M246" s="11" t="str"/>
      <x:c r="N246" s="12"/>
      <x:c r="O246" s="11" t="str"/>
    </x:row>
    <x:row r="247" ht="39.599998474121094" hidden="0" customHeight="1">
      <x:c r="A247" s="10" t="str">
        <x:v>EVAL-009</x:v>
      </x:c>
      <x:c r="B247" s="10" t="str">
        <x:v>07 结果闭环</x:v>
      </x:c>
      <x:c r="C247" s="10" t="str">
        <x:v>评估与质量验证</x:v>
      </x:c>
      <x:c r="D247" s="10" t="str">
        <x:v>P1</x:v>
      </x:c>
      <x:c r="E247" s="10" t="str">
        <x:v>到 Playground 复现</x:v>
      </x:c>
      <x:c r="F247" s="10" t="str">
        <x:v>使用 questions.json 的标准问题；目标资产与 Chunk ID 从已索引真实资料填入</x:v>
      </x:c>
      <x:c r="G247" s="10" t="str">
        <x:v>选择用例打开 Playground
检索
返回评估</x:v>
      </x:c>
      <x:c r="H247" s="10" t="str">
        <x:v>问题、caseId、目标资料保持
当前项目正确</x:v>
      </x:c>
      <x:c r="I247" s="10" t="str">
        <x:v>截图或录屏、脱敏请求响应、对象 ID、时间及相关日志</x:v>
      </x:c>
      <x:c r="J247" s="11" t="str">
        <x:v>未执行</x:v>
      </x:c>
      <x:c r="K247" s="11" t="str"/>
      <x:c r="L247" s="11" t="str"/>
      <x:c r="M247" s="11" t="str"/>
      <x:c r="N247" s="12"/>
      <x:c r="O247" s="11" t="str"/>
    </x:row>
    <x:row r="248" ht="39.599998474121094" hidden="0" customHeight="1">
      <x:c r="A248" s="10" t="str">
        <x:v>EVAL-010</x:v>
      </x:c>
      <x:c r="B248" s="10" t="str">
        <x:v>07 结果闭环</x:v>
      </x:c>
      <x:c r="C248" s="10" t="str">
        <x:v>评估与质量验证</x:v>
      </x:c>
      <x:c r="D248" s="10" t="str">
        <x:v>P1</x:v>
      </x:c>
      <x:c r="E248" s="10" t="str">
        <x:v>到 Agent 回答复验</x:v>
      </x:c>
      <x:c r="F248" s="10" t="str">
        <x:v>使用 questions.json 的标准问题；目标资产与 Chunk ID 从已索引真实资料填入</x:v>
      </x:c>
      <x:c r="G248" s="10" t="str">
        <x:v>选择用例进入 Agent
生成答案
人工对标准事实逐项打勾</x:v>
      </x:c>
      <x:c r="H248" s="10" t="str">
        <x:v>事实/引用/限制独立核验
返回评估仍是原 caseId</x:v>
      </x:c>
      <x:c r="I248" s="10" t="str">
        <x:v>截图或录屏、脱敏请求响应、对象 ID、时间及相关日志</x:v>
      </x:c>
      <x:c r="J248" s="11" t="str">
        <x:v>未执行</x:v>
      </x:c>
      <x:c r="K248" s="11" t="str"/>
      <x:c r="L248" s="11" t="str"/>
      <x:c r="M248" s="11" t="str"/>
      <x:c r="N248" s="12"/>
      <x:c r="O248" s="11" t="str"/>
    </x:row>
    <x:row r="249" ht="26.399999618530273" hidden="0" customHeight="1">
      <x:c r="A249" s="10" t="str">
        <x:v>EVAL-011</x:v>
      </x:c>
      <x:c r="B249" s="10" t="str">
        <x:v>07 结果闭环</x:v>
      </x:c>
      <x:c r="C249" s="10" t="str">
        <x:v>评估与质量验证</x:v>
      </x:c>
      <x:c r="D249" s="10" t="str">
        <x:v>P1</x:v>
      </x:c>
      <x:c r="E249" s="10" t="str">
        <x:v>失败用例转行动</x:v>
      </x:c>
      <x:c r="F249" s="10" t="str">
        <x:v>使用 questions.json 的标准问题；目标资产与 Chunk ID 从已索引真实资料填入</x:v>
      </x:c>
      <x:c r="G249" s="10" t="str">
        <x:v>选失败用例生成修复行动项
确认保存</x:v>
      </x:c>
      <x:c r="H249" s="10" t="str">
        <x:v>标题/说明/来源用例准确
可进入后续闭环</x:v>
      </x:c>
      <x:c r="I249" s="10" t="str">
        <x:v>截图或录屏、脱敏请求响应、对象 ID、时间及相关日志</x:v>
      </x:c>
      <x:c r="J249" s="11" t="str">
        <x:v>未执行</x:v>
      </x:c>
      <x:c r="K249" s="11" t="str"/>
      <x:c r="L249" s="11" t="str"/>
      <x:c r="M249" s="11" t="str"/>
      <x:c r="N249" s="12"/>
      <x:c r="O249" s="11" t="str"/>
    </x:row>
    <x:row r="250" ht="26.399999618530273" hidden="0" customHeight="1">
      <x:c r="A250" s="10" t="str">
        <x:v>EVAL-012</x:v>
      </x:c>
      <x:c r="B250" s="10" t="str">
        <x:v>07 结果闭环</x:v>
      </x:c>
      <x:c r="C250" s="10" t="str">
        <x:v>评估与质量验证</x:v>
      </x:c>
      <x:c r="D250" s="10" t="str">
        <x:v>P1</x:v>
      </x:c>
      <x:c r="E250" s="10" t="str">
        <x:v>评估同步与错误</x:v>
      </x:c>
      <x:c r="F250" s="10" t="str">
        <x:v>使用 questions.json 的标准问题；目标资产与 Chunk ID 从已索引真实资料填入</x:v>
      </x:c>
      <x:c r="G250" s="10" t="str">
        <x:v>刷新列表、切换项目、运行时切换用例
故意断 AI 后恢复</x:v>
      </x:c>
      <x:c r="H250" s="10" t="str">
        <x:v>加载/执行错误清楚
迟到结果不会覆盖另一个用例</x:v>
      </x:c>
      <x:c r="I250" s="10" t="str">
        <x:v>截图或录屏、脱敏请求响应、对象 ID、时间及相关日志</x:v>
      </x:c>
      <x:c r="J250" s="11" t="str">
        <x:v>未执行</x:v>
      </x:c>
      <x:c r="K250" s="11" t="str"/>
      <x:c r="L250" s="11" t="str"/>
      <x:c r="M250" s="11" t="str"/>
      <x:c r="N250" s="12"/>
      <x:c r="O250" s="11" t="str"/>
    </x:row>
    <x:row r="251" ht="39.599998474121094" hidden="0" customHeight="1">
      <x:c r="A251" s="10" t="str">
        <x:v>EVAL-013</x:v>
      </x:c>
      <x:c r="B251" s="10" t="str">
        <x:v>07 结果闭环</x:v>
      </x:c>
      <x:c r="C251" s="10" t="str">
        <x:v>评估与质量验证</x:v>
      </x:c>
      <x:c r="D251" s="10" t="str">
        <x:v>P1</x:v>
      </x:c>
      <x:c r="E251" s="10" t="str">
        <x:v>质量趋势图</x:v>
      </x:c>
      <x:c r="F251" s="10" t="str">
        <x:v>使用 questions.json 的标准问题；目标资产与 Chunk ID 从已索引真实资料填入</x:v>
      </x:c>
      <x:c r="G251" s="10" t="str">
        <x:v>有 1 点、多点、部分空指标与全空数据
切换主题、缩放</x:v>
      </x:c>
      <x:c r="H251" s="10" t="str">
        <x:v>图表可见、无 NaN
缺失不冒充零
来自真实评估记录</x:v>
      </x:c>
      <x:c r="I251" s="10" t="str">
        <x:v>截图或录屏、脱敏请求响应、对象 ID、时间及相关日志</x:v>
      </x:c>
      <x:c r="J251" s="11" t="str">
        <x:v>未执行</x:v>
      </x:c>
      <x:c r="K251" s="11" t="str"/>
      <x:c r="L251" s="11" t="str"/>
      <x:c r="M251" s="11" t="str"/>
      <x:c r="N251" s="12"/>
      <x:c r="O251" s="11" t="str"/>
    </x:row>
    <x:row r="252" ht="26.399999618530273" hidden="0" customHeight="1">
      <x:c r="A252" s="10" t="str">
        <x:v>EVAL-014</x:v>
      </x:c>
      <x:c r="B252" s="10" t="str">
        <x:v>07 结果闭环</x:v>
      </x:c>
      <x:c r="C252" s="10" t="str">
        <x:v>评估与质量验证</x:v>
      </x:c>
      <x:c r="D252" s="10" t="str">
        <x:v>P0</x:v>
      </x:c>
      <x:c r="E252" s="10" t="str">
        <x:v>固定问题集回归</x:v>
      </x:c>
      <x:c r="F252" s="10" t="str">
        <x:v>使用 questions.json 的标准问题；目标资产与 Chunk ID 从已索引真实资料填入</x:v>
      </x:c>
      <x:c r="G252" s="10" t="str">
        <x:v>对 questions.json 每一题分别记录召回、事实、引用与拒答结果
每次至少运行 3 次</x:v>
      </x:c>
      <x:c r="H252" s="10" t="str">
        <x:v>所有标准题有独立证据
关键事实/拒答/隔离不能靠平均分掩盖失败</x:v>
      </x:c>
      <x:c r="I252" s="10" t="str">
        <x:v>截图或录屏、脱敏请求响应、对象 ID、时间及相关日志</x:v>
      </x:c>
      <x:c r="J252" s="11" t="str">
        <x:v>未执行</x:v>
      </x:c>
      <x:c r="K252" s="11" t="str"/>
      <x:c r="L252" s="11" t="str"/>
      <x:c r="M252" s="11" t="str"/>
      <x:c r="N252" s="12"/>
      <x:c r="O252" s="11" t="str"/>
    </x:row>
    <x:row r="253" ht="39.599998474121094" hidden="0" customHeight="1">
      <x:c r="A253" s="10" t="str">
        <x:v>STAT-001</x:v>
      </x:c>
      <x:c r="B253" s="10" t="str">
        <x:v>08 全站功能</x:v>
      </x:c>
      <x:c r="C253" s="10" t="str">
        <x:v>工作区统计、通知与账户设置</x:v>
      </x:c>
      <x:c r="D253" s="10" t="str">
        <x:v>P1</x:v>
      </x:c>
      <x:c r="E253" s="10" t="str">
        <x:v>概览趋势回归</x:v>
      </x:c>
      <x:c r="F253" s="10" t="str">
        <x:v>完成一轮真实 Agent 与研究、报告、评估和行动项操作</x:v>
      </x:c>
      <x:c r="G253" s="10" t="str">
        <x:v>有 0、1、多天真实运行/报告
刷新
窄屏/主题切换</x:v>
      </x:c>
      <x:c r="H253" s="10" t="str">
        <x:v>两条曲线有实际绘图区域
日期/合计准确
零数据为空状态</x:v>
      </x:c>
      <x:c r="I253" s="10" t="str">
        <x:v>截图或录屏、脱敏请求响应、对象 ID、时间及相关日志</x:v>
      </x:c>
      <x:c r="J253" s="11" t="str">
        <x:v>未执行</x:v>
      </x:c>
      <x:c r="K253" s="11" t="str"/>
      <x:c r="L253" s="11" t="str"/>
      <x:c r="M253" s="11" t="str"/>
      <x:c r="N253" s="12"/>
      <x:c r="O253" s="11" t="str"/>
    </x:row>
    <x:row r="254" ht="39.599998474121094" hidden="0" customHeight="1">
      <x:c r="A254" s="10" t="str">
        <x:v>STAT-002</x:v>
      </x:c>
      <x:c r="B254" s="10" t="str">
        <x:v>08 全站功能</x:v>
      </x:c>
      <x:c r="C254" s="10" t="str">
        <x:v>工作区统计、通知与账户设置</x:v>
      </x:c>
      <x:c r="D254" s="10" t="str">
        <x:v>P0</x:v>
      </x:c>
      <x:c r="E254" s="10" t="str">
        <x:v>工作区统计对账</x:v>
      </x:c>
      <x:c r="F254" s="10" t="str">
        <x:v>完成一轮真实 Agent 与研究、报告、评估和行动项操作</x:v>
      </x:c>
      <x:c r="G254" s="10" t="str">
        <x:v>对照当前可访问项目的资产、运行、报告与待跟进数</x:v>
      </x:c>
      <x:c r="H254" s="10" t="str">
        <x:v>汇总与明细一致
私有/删除项目按范围处理
不串租户</x:v>
      </x:c>
      <x:c r="I254" s="10" t="str">
        <x:v>截图或录屏、脱敏请求响应、对象 ID、时间及相关日志</x:v>
      </x:c>
      <x:c r="J254" s="11" t="str">
        <x:v>未执行</x:v>
      </x:c>
      <x:c r="K254" s="11" t="str"/>
      <x:c r="L254" s="11" t="str"/>
      <x:c r="M254" s="11" t="str"/>
      <x:c r="N254" s="12"/>
      <x:c r="O254" s="11" t="str"/>
    </x:row>
    <x:row r="255" ht="39.599998474121094" hidden="0" customHeight="1">
      <x:c r="A255" s="10" t="str">
        <x:v>STAT-003</x:v>
      </x:c>
      <x:c r="B255" s="10" t="str">
        <x:v>08 全站功能</x:v>
      </x:c>
      <x:c r="C255" s="10" t="str">
        <x:v>工作区统计、通知与账户设置</x:v>
      </x:c>
      <x:c r="D255" s="10" t="str">
        <x:v>P1</x:v>
      </x:c>
      <x:c r="E255" s="10" t="str">
        <x:v>Token 使用明细</x:v>
      </x:c>
      <x:c r="F255" s="10" t="str">
        <x:v>完成一轮真实 Agent 与研究、报告、评估和行动项操作</x:v>
      </x:c>
      <x:c r="G255" s="10" t="str">
        <x:v>对照供应商 usage
查看项目、用户、模型拆分与趋势</x:v>
      </x:c>
      <x:c r="H255" s="10" t="str">
        <x:v>加总一致
未知 token/模型明确标记
失败与取消口径明确</x:v>
      </x:c>
      <x:c r="I255" s="10" t="str">
        <x:v>截图或录屏、脱敏请求响应、对象 ID、时间及相关日志</x:v>
      </x:c>
      <x:c r="J255" s="11" t="str">
        <x:v>未执行</x:v>
      </x:c>
      <x:c r="K255" s="11" t="str"/>
      <x:c r="L255" s="11" t="str"/>
      <x:c r="M255" s="11" t="str"/>
      <x:c r="N255" s="12"/>
      <x:c r="O255" s="11" t="str"/>
    </x:row>
    <x:row r="256" ht="39.599998474121094" hidden="0" customHeight="1">
      <x:c r="A256" s="10" t="str">
        <x:v>STAT-004</x:v>
      </x:c>
      <x:c r="B256" s="10" t="str">
        <x:v>08 全站功能</x:v>
      </x:c>
      <x:c r="C256" s="10" t="str">
        <x:v>工作区统计、通知与账户设置</x:v>
      </x:c>
      <x:c r="D256" s="10" t="str">
        <x:v>P1</x:v>
      </x:c>
      <x:c r="E256" s="10" t="str">
        <x:v>日期窗口和时区</x:v>
      </x:c>
      <x:c r="F256" s="10" t="str">
        <x:v>完成一轮真实 Agent 与研究、报告、评估和行动项操作</x:v>
      </x:c>
      <x:c r="G256" s="10" t="str">
        <x:v>API days=1/30/边界非法值
跨日事件
图表对账</x:v>
      </x:c>
      <x:c r="H256" s="10" t="str">
        <x:v>日期窗口无错日/重复
显示与服务时间一致</x:v>
      </x:c>
      <x:c r="I256" s="10" t="str">
        <x:v>截图或录屏、脱敏请求响应、对象 ID、时间及相关日志</x:v>
      </x:c>
      <x:c r="J256" s="11" t="str">
        <x:v>未执行</x:v>
      </x:c>
      <x:c r="K256" s="11" t="str"/>
      <x:c r="L256" s="11" t="str"/>
      <x:c r="M256" s="11" t="str"/>
      <x:c r="N256" s="12"/>
      <x:c r="O256" s="11" t="str"/>
    </x:row>
    <x:row r="257" ht="26.399999618530273" hidden="0" customHeight="1">
      <x:c r="A257" s="10" t="str">
        <x:v>STAT-005</x:v>
      </x:c>
      <x:c r="B257" s="10" t="str">
        <x:v>08 全站功能</x:v>
      </x:c>
      <x:c r="C257" s="10" t="str">
        <x:v>工作区统计、通知与账户设置</x:v>
      </x:c>
      <x:c r="D257" s="10" t="str">
        <x:v>P1</x:v>
      </x:c>
      <x:c r="E257" s="10" t="str">
        <x:v>最近运行与报告</x:v>
      </x:c>
      <x:c r="F257" s="10" t="str">
        <x:v>完成一轮真实 Agent 与研究、报告、评估和行动项操作</x:v>
      </x:c>
      <x:c r="G257" s="10" t="str">
        <x:v>从概览点击查看全部/具体报告</x:v>
      </x:c>
      <x:c r="H257" s="10" t="str">
        <x:v>到正确项目和报告
最新时间排序准确</x:v>
      </x:c>
      <x:c r="I257" s="10" t="str">
        <x:v>截图或录屏、脱敏请求响应、对象 ID、时间及相关日志</x:v>
      </x:c>
      <x:c r="J257" s="11" t="str">
        <x:v>未执行</x:v>
      </x:c>
      <x:c r="K257" s="11" t="str"/>
      <x:c r="L257" s="11" t="str"/>
      <x:c r="M257" s="11" t="str"/>
      <x:c r="N257" s="12"/>
      <x:c r="O257" s="11" t="str"/>
    </x:row>
    <x:row r="258" ht="39.599998474121094" hidden="0" customHeight="1">
      <x:c r="A258" s="10" t="str">
        <x:v>STAT-006</x:v>
      </x:c>
      <x:c r="B258" s="10" t="str">
        <x:v>08 全站功能</x:v>
      </x:c>
      <x:c r="C258" s="10" t="str">
        <x:v>工作区统计、通知与账户设置</x:v>
      </x:c>
      <x:c r="D258" s="10" t="str">
        <x:v>P1</x:v>
      </x:c>
      <x:c r="E258" s="10" t="str">
        <x:v>通知生成与筛选</x:v>
      </x:c>
      <x:c r="F258" s="10" t="str">
        <x:v>完成一轮真实 Agent 与研究、报告、评估和行动项操作</x:v>
      </x:c>
      <x:c r="G258" s="10" t="str">
        <x:v>创建评估、报告更新等实际事件
打开顶栏/通知页
筛未读</x:v>
      </x:c>
      <x:c r="H258" s="10" t="str">
        <x:v>通知是真实记录
筛选和未读数一致</x:v>
      </x:c>
      <x:c r="I258" s="10" t="str">
        <x:v>截图或录屏、脱敏请求响应、对象 ID、时间及相关日志</x:v>
      </x:c>
      <x:c r="J258" s="11" t="str">
        <x:v>未执行</x:v>
      </x:c>
      <x:c r="K258" s="11" t="str"/>
      <x:c r="L258" s="11" t="str"/>
      <x:c r="M258" s="11" t="str"/>
      <x:c r="N258" s="12"/>
      <x:c r="O258" s="11" t="str"/>
    </x:row>
    <x:row r="259" ht="39.599998474121094" hidden="0" customHeight="1">
      <x:c r="A259" s="10" t="str">
        <x:v>STAT-007</x:v>
      </x:c>
      <x:c r="B259" s="10" t="str">
        <x:v>08 全站功能</x:v>
      </x:c>
      <x:c r="C259" s="10" t="str">
        <x:v>工作区统计、通知与账户设置</x:v>
      </x:c>
      <x:c r="D259" s="10" t="str">
        <x:v>P1</x:v>
      </x:c>
      <x:c r="E259" s="10" t="str">
        <x:v>单条与全部已读</x:v>
      </x:c>
      <x:c r="F259" s="10" t="str">
        <x:v>完成一轮真实 Agent 与研究、报告、评估和行动项操作</x:v>
      </x:c>
      <x:c r="G259" s="10" t="str">
        <x:v>点单条已读、全部已读
刷新及另一标签查看</x:v>
      </x:c>
      <x:c r="H259" s="10" t="str">
        <x:v>状态持久化
未读计数同步
只修改当前用户通知</x:v>
      </x:c>
      <x:c r="I259" s="10" t="str">
        <x:v>截图或录屏、脱敏请求响应、对象 ID、时间及相关日志</x:v>
      </x:c>
      <x:c r="J259" s="11" t="str">
        <x:v>未执行</x:v>
      </x:c>
      <x:c r="K259" s="11" t="str"/>
      <x:c r="L259" s="11" t="str"/>
      <x:c r="M259" s="11" t="str"/>
      <x:c r="N259" s="12"/>
      <x:c r="O259" s="11" t="str"/>
    </x:row>
    <x:row r="260" ht="39.599998474121094" hidden="0" customHeight="1">
      <x:c r="A260" s="10" t="str">
        <x:v>STAT-008</x:v>
      </x:c>
      <x:c r="B260" s="10" t="str">
        <x:v>08 全站功能</x:v>
      </x:c>
      <x:c r="C260" s="10" t="str">
        <x:v>工作区统计、通知与账户设置</x:v>
      </x:c>
      <x:c r="D260" s="10" t="str">
        <x:v>P1</x:v>
      </x:c>
      <x:c r="E260" s="10" t="str">
        <x:v>通知跳转与失效对象</x:v>
      </x:c>
      <x:c r="F260" s="10" t="str">
        <x:v>完成一轮真实 Agent 与研究、报告、评估和行动项操作</x:v>
      </x:c>
      <x:c r="G260" s="10" t="str">
        <x:v>点通知进入项目
再测试目标已删除/无权情况</x:v>
      </x:c>
      <x:c r="H260" s="10" t="str">
        <x:v>跳转正确
失效不泄露对象
可安全返回</x:v>
      </x:c>
      <x:c r="I260" s="10" t="str">
        <x:v>截图或录屏、脱敏请求响应、对象 ID、时间及相关日志</x:v>
      </x:c>
      <x:c r="J260" s="11" t="str">
        <x:v>未执行</x:v>
      </x:c>
      <x:c r="K260" s="11" t="str"/>
      <x:c r="L260" s="11" t="str"/>
      <x:c r="M260" s="11" t="str"/>
      <x:c r="N260" s="12"/>
      <x:c r="O260" s="11" t="str"/>
    </x:row>
    <x:row r="261" ht="39.599998474121094" hidden="0" customHeight="1">
      <x:c r="A261" s="10" t="str">
        <x:v>STAT-009</x:v>
      </x:c>
      <x:c r="B261" s="10" t="str">
        <x:v>08 全站功能</x:v>
      </x:c>
      <x:c r="C261" s="10" t="str">
        <x:v>工作区统计、通知与账户设置</x:v>
      </x:c>
      <x:c r="D261" s="10" t="str">
        <x:v>P1</x:v>
      </x:c>
      <x:c r="E261" s="10" t="str">
        <x:v>用户菜单和搜索</x:v>
      </x:c>
      <x:c r="F261" s="10" t="str">
        <x:v>完成一轮真实 Agent 与研究、报告、评估和行动项操作</x:v>
      </x:c>
      <x:c r="G261" s="10" t="str">
        <x:v>打开/关闭用户菜单、通知弹层
顶栏搜索项目资料
浏览器后退</x:v>
      </x:c>
      <x:c r="H261" s="10" t="str">
        <x:v>控件正常
焦点/弹层正确
搜索范围为当前项目</x:v>
      </x:c>
      <x:c r="I261" s="10" t="str">
        <x:v>截图或录屏、脱敏请求响应、对象 ID、时间及相关日志</x:v>
      </x:c>
      <x:c r="J261" s="11" t="str">
        <x:v>未执行</x:v>
      </x:c>
      <x:c r="K261" s="11" t="str"/>
      <x:c r="L261" s="11" t="str"/>
      <x:c r="M261" s="11" t="str"/>
      <x:c r="N261" s="12"/>
      <x:c r="O261" s="11" t="str"/>
    </x:row>
    <x:row r="262" ht="39.599998474121094" hidden="0" customHeight="1">
      <x:c r="A262" s="10" t="str">
        <x:v>STAT-010</x:v>
      </x:c>
      <x:c r="B262" s="10" t="str">
        <x:v>08 全站功能</x:v>
      </x:c>
      <x:c r="C262" s="10" t="str">
        <x:v>工作区统计、通知与账户设置</x:v>
      </x:c>
      <x:c r="D262" s="10" t="str">
        <x:v>P1</x:v>
      </x:c>
      <x:c r="E262" s="10" t="str">
        <x:v>个人资料</x:v>
      </x:c>
      <x:c r="F262" s="10" t="str">
        <x:v>完成一轮真实 Agent 与研究、报告、评估和行动项操作</x:v>
      </x:c>
      <x:c r="G262" s="10" t="str">
        <x:v>改用户名、邮箱或界面支持字段
保存刷新</x:v>
      </x:c>
      <x:c r="H262" s="10" t="str">
        <x:v>字段真实持久化
顶部显示更新
非法值拒绝</x:v>
      </x:c>
      <x:c r="I262" s="10" t="str">
        <x:v>截图或录屏、脱敏请求响应、对象 ID、时间及相关日志</x:v>
      </x:c>
      <x:c r="J262" s="11" t="str">
        <x:v>未执行</x:v>
      </x:c>
      <x:c r="K262" s="11" t="str"/>
      <x:c r="L262" s="11" t="str"/>
      <x:c r="M262" s="11" t="str"/>
      <x:c r="N262" s="12"/>
      <x:c r="O262" s="11" t="str"/>
    </x:row>
    <x:row r="263" ht="26.399999618530273" hidden="0" customHeight="1">
      <x:c r="A263" s="10" t="str">
        <x:v>STAT-011</x:v>
      </x:c>
      <x:c r="B263" s="10" t="str">
        <x:v>08 全站功能</x:v>
      </x:c>
      <x:c r="C263" s="10" t="str">
        <x:v>工作区统计、通知与账户设置</x:v>
      </x:c>
      <x:c r="D263" s="10" t="str">
        <x:v>P1</x:v>
      </x:c>
      <x:c r="E263" s="10" t="str">
        <x:v>个人通知偏好</x:v>
      </x:c>
      <x:c r="F263" s="10" t="str">
        <x:v>完成一轮真实 Agent 与研究、报告、评估和行动项操作</x:v>
      </x:c>
      <x:c r="G263" s="10" t="str">
        <x:v>逐个通知偏好修改、保存、刷新后制造相应事件</x:v>
      </x:c>
      <x:c r="H263" s="10" t="str">
        <x:v>持久化且若宣称控制通知则实际生效
不只存一份无效 JSON</x:v>
      </x:c>
      <x:c r="I263" s="10" t="str">
        <x:v>截图或录屏、脱敏请求响应、对象 ID、时间及相关日志</x:v>
      </x:c>
      <x:c r="J263" s="11" t="str">
        <x:v>未执行</x:v>
      </x:c>
      <x:c r="K263" s="11" t="str"/>
      <x:c r="L263" s="11" t="str"/>
      <x:c r="M263" s="11" t="str"/>
      <x:c r="N263" s="12"/>
      <x:c r="O263" s="11" t="str"/>
    </x:row>
    <x:row r="264" ht="39.599998474121094" hidden="0" customHeight="1">
      <x:c r="A264" s="10" t="str">
        <x:v>STAT-012</x:v>
      </x:c>
      <x:c r="B264" s="10" t="str">
        <x:v>08 全站功能</x:v>
      </x:c>
      <x:c r="C264" s="10" t="str">
        <x:v>工作区统计、通知与账户设置</x:v>
      </x:c>
      <x:c r="D264" s="10" t="str">
        <x:v>P0</x:v>
      </x:c>
      <x:c r="E264" s="10" t="str">
        <x:v>修改密码</x:v>
      </x:c>
      <x:c r="F264" s="10" t="str">
        <x:v>完成一轮真实 Agent 与研究、报告、评估和行动项操作</x:v>
      </x:c>
      <x:c r="G264" s="10" t="str">
        <x:v>绑定手机 PASSWORD_CHANGE 验证码改密码
用新旧密码登录</x:v>
      </x:c>
      <x:c r="H264" s="10" t="str">
        <x:v>新有效旧无效
验证码绑定本人手机号
其他会话按策略失效</x:v>
      </x:c>
      <x:c r="I264" s="10" t="str">
        <x:v>截图或录屏、脱敏请求响应、对象 ID、时间及相关日志</x:v>
      </x:c>
      <x:c r="J264" s="11" t="str">
        <x:v>未执行</x:v>
      </x:c>
      <x:c r="K264" s="11" t="str"/>
      <x:c r="L264" s="11" t="str"/>
      <x:c r="M264" s="11" t="str"/>
      <x:c r="N264" s="12"/>
      <x:c r="O264" s="11" t="str"/>
    </x:row>
    <x:row r="265" ht="52.79999923706055" hidden="0" customHeight="1">
      <x:c r="A265" s="10" t="str">
        <x:v>STAT-013</x:v>
      </x:c>
      <x:c r="B265" s="10" t="str">
        <x:v>08 全站功能</x:v>
      </x:c>
      <x:c r="C265" s="10" t="str">
        <x:v>工作区统计、通知与账户设置</x:v>
      </x:c>
      <x:c r="D265" s="10" t="str">
        <x:v>P0</x:v>
      </x:c>
      <x:c r="E265" s="10" t="str">
        <x:v>更换手机号</x:v>
      </x:c>
      <x:c r="F265" s="10" t="str">
        <x:v>完成一轮真实 Agent 与研究、报告、评估和行动项操作</x:v>
      </x:c>
      <x:c r="G265" s="10" t="str">
        <x:v>PHONE_CHANGE 验证新手机号
测试已注册号、错误码和重复提交</x:v>
      </x:c>
      <x:c r="H265" s="10" t="str">
        <x:v>正确变更
旧号登录失败
错误不改号
无账号接管</x:v>
      </x:c>
      <x:c r="I265" s="10" t="str">
        <x:v>截图或录屏、脱敏请求响应、对象 ID、时间及相关日志</x:v>
      </x:c>
      <x:c r="J265" s="11" t="str">
        <x:v>未执行</x:v>
      </x:c>
      <x:c r="K265" s="11" t="str"/>
      <x:c r="L265" s="11" t="str"/>
      <x:c r="M265" s="11" t="str"/>
      <x:c r="N265" s="12"/>
      <x:c r="O265" s="11" t="str"/>
    </x:row>
    <x:row r="266" ht="39.599998474121094" hidden="0" customHeight="1">
      <x:c r="A266" s="10" t="str">
        <x:v>STAT-014</x:v>
      </x:c>
      <x:c r="B266" s="10" t="str">
        <x:v>08 全站功能</x:v>
      </x:c>
      <x:c r="C266" s="10" t="str">
        <x:v>工作区统计、通知与账户设置</x:v>
      </x:c>
      <x:c r="D266" s="10" t="str">
        <x:v>P1</x:v>
      </x:c>
      <x:c r="E266" s="10" t="str">
        <x:v>设置错误与退出</x:v>
      </x:c>
      <x:c r="F266" s="10" t="str">
        <x:v>完成一轮真实 Agent 与研究、报告、评估和行动项操作</x:v>
      </x:c>
      <x:c r="G266" s="10" t="str">
        <x:v>设置保存时断网
恢复重试
从个人设置退出</x:v>
      </x:c>
      <x:c r="H266" s="10" t="str">
        <x:v>失败不假成功
合法修改恢复
退出彻底失效</x:v>
      </x:c>
      <x:c r="I266" s="10" t="str">
        <x:v>截图或录屏、脱敏请求响应、对象 ID、时间及相关日志</x:v>
      </x:c>
      <x:c r="J266" s="11" t="str">
        <x:v>未执行</x:v>
      </x:c>
      <x:c r="K266" s="11" t="str"/>
      <x:c r="L266" s="11" t="str"/>
      <x:c r="M266" s="11" t="str"/>
      <x:c r="N266" s="12"/>
      <x:c r="O266" s="11" t="str"/>
    </x:row>
    <x:row r="267" ht="39.599998474121094" hidden="0" customHeight="1">
      <x:c r="A267" s="10" t="str">
        <x:v>STAT-015</x:v>
      </x:c>
      <x:c r="B267" s="10" t="str">
        <x:v>08 全站功能</x:v>
      </x:c>
      <x:c r="C267" s="10" t="str">
        <x:v>工作区统计、通知与账户设置</x:v>
      </x:c>
      <x:c r="D267" s="10" t="str">
        <x:v>P1</x:v>
      </x:c>
      <x:c r="E267" s="10" t="str">
        <x:v>帮助中心</x:v>
      </x:c>
      <x:c r="F267" s="10" t="str">
        <x:v>完成一轮真实 Agent 与研究、报告、评估和行动项操作</x:v>
      </x:c>
      <x:c r="G267" s="10" t="str">
        <x:v>逐个分类、搜索、FAQ、文章弹窗、工作台捷径与快捷键</x:v>
      </x:c>
      <x:c r="H267" s="10" t="str">
        <x:v>内容可读且链接有效
空搜索结果明确
关闭可恢复焦点</x:v>
      </x:c>
      <x:c r="I267" s="10" t="str">
        <x:v>截图或录屏、脱敏请求响应、对象 ID、时间及相关日志</x:v>
      </x:c>
      <x:c r="J267" s="11" t="str">
        <x:v>未执行</x:v>
      </x:c>
      <x:c r="K267" s="11" t="str"/>
      <x:c r="L267" s="11" t="str"/>
      <x:c r="M267" s="11" t="str"/>
      <x:c r="N267" s="12"/>
      <x:c r="O267" s="11" t="str"/>
    </x:row>
    <x:row r="268" ht="39.599998474121094" hidden="0" customHeight="1">
      <x:c r="A268" s="10" t="str">
        <x:v>STAT-016</x:v>
      </x:c>
      <x:c r="B268" s="10" t="str">
        <x:v>08 全站功能</x:v>
      </x:c>
      <x:c r="C268" s="10" t="str">
        <x:v>工作区统计、通知与账户设置</x:v>
      </x:c>
      <x:c r="D268" s="10" t="str">
        <x:v>P1</x:v>
      </x:c>
      <x:c r="E268" s="10" t="str">
        <x:v>帮助反馈现状</x:v>
      </x:c>
      <x:c r="F268" s="10" t="str">
        <x:v>完成一轮真实 Agent 与研究、报告、评估和行动项操作</x:v>
      </x:c>
      <x:c r="G268" s="10" t="str">
        <x:v>点“有帮助/需要改进”
刷新再看
查看是否有反馈请求</x:v>
      </x:c>
      <x:c r="H268" s="10" t="str">
        <x:v>当前实现为本地状态/toast
不能用“已记录”证明服务器持久化
若对外承诺留存需补齐</x:v>
      </x:c>
      <x:c r="I268" s="10" t="str">
        <x:v>截图或录屏、脱敏请求响应、对象 ID、时间及相关日志</x:v>
      </x:c>
      <x:c r="J268" s="11" t="str">
        <x:v>未执行</x:v>
      </x:c>
      <x:c r="K268" s="11" t="str"/>
      <x:c r="L268" s="11" t="str"/>
      <x:c r="M268" s="11" t="str"/>
      <x:c r="N268" s="12"/>
      <x:c r="O268" s="11" t="str"/>
    </x:row>
    <x:row r="269" ht="39.599998474121094" hidden="0" customHeight="1">
      <x:c r="A269" s="10" t="str">
        <x:v>SEC-001</x:v>
      </x:c>
      <x:c r="B269" s="10" t="str">
        <x:v>09 权限与异常</x:v>
      </x:c>
      <x:c r="C269" s="10" t="str">
        <x:v>鉴权、数据隔离与输入安全</x:v>
      </x:c>
      <x:c r="D269" s="10" t="str">
        <x:v>P0</x:v>
      </x:c>
      <x:c r="E269" s="10" t="str">
        <x:v>跨工作区全部对象</x:v>
      </x:c>
      <x:c r="F269" s="10" t="str">
        <x:v>仅自建 QA-A/QA-B 与测试资料；准备 A/B/C/D 四类账号；所有请求脱敏记录</x:v>
      </x:c>
      <x:c r="G269" s="10" t="str">
        <x:v>D 对 QA-A 的项目、资产/Chunk/文件、对话、运行、报告、行动、评估、统计、通知、审计、配置逐类直访</x:v>
      </x:c>
      <x:c r="H269" s="10" t="str">
        <x:v>不返回数据、不执行写入
含 SSE、导出、预览
403/404/正确空集需结合无泄露验证</x:v>
      </x:c>
      <x:c r="I269" s="10" t="str">
        <x:v>截图或录屏、脱敏请求响应、对象 ID、时间及相关日志</x:v>
      </x:c>
      <x:c r="J269" s="11" t="str">
        <x:v>未执行</x:v>
      </x:c>
      <x:c r="K269" s="11" t="str"/>
      <x:c r="L269" s="11" t="str"/>
      <x:c r="M269" s="11" t="str"/>
      <x:c r="N269" s="12"/>
      <x:c r="O269" s="11" t="str"/>
    </x:row>
    <x:row r="270" ht="26.399999618530273" hidden="0" customHeight="1">
      <x:c r="A270" s="10" t="str">
        <x:v>SEC-002</x:v>
      </x:c>
      <x:c r="B270" s="10" t="str">
        <x:v>09 权限与异常</x:v>
      </x:c>
      <x:c r="C270" s="10" t="str">
        <x:v>鉴权、数据隔离与输入安全</x:v>
      </x:c>
      <x:c r="D270" s="10" t="str">
        <x:v>P0</x:v>
      </x:c>
      <x:c r="E270" s="10" t="str">
        <x:v>同工作区跨项目拼接</x:v>
      </x:c>
      <x:c r="F270" s="10" t="str">
        <x:v>仅自建 QA-A/QA-B 与测试资料；准备 A/B/C/D 四类账号；所有请求脱敏记录</x:v>
      </x:c>
      <x:c r="G270" s="10" t="str">
        <x:v>将 P1 URL 的 projectId、assetId、runId、reportId、threadId、attachmentId 换成 P2/PP 的对象</x:v>
      </x:c>
      <x:c r="H270" s="10" t="str">
        <x:v>workspace/project/object 三层匹配
不能靠一个合法 ID 读取另一个范围</x:v>
      </x:c>
      <x:c r="I270" s="10" t="str">
        <x:v>截图或录屏、脱敏请求响应、对象 ID、时间及相关日志</x:v>
      </x:c>
      <x:c r="J270" s="11" t="str">
        <x:v>未执行</x:v>
      </x:c>
      <x:c r="K270" s="11" t="str"/>
      <x:c r="L270" s="11" t="str"/>
      <x:c r="M270" s="11" t="str"/>
      <x:c r="N270" s="12"/>
      <x:c r="O270" s="11" t="str"/>
    </x:row>
    <x:row r="271" ht="39.599998474121094" hidden="0" customHeight="1">
      <x:c r="A271" s="10" t="str">
        <x:v>SEC-003</x:v>
      </x:c>
      <x:c r="B271" s="10" t="str">
        <x:v>09 权限与异常</x:v>
      </x:c>
      <x:c r="C271" s="10" t="str">
        <x:v>鉴权、数据隔离与输入安全</x:v>
      </x:c>
      <x:c r="D271" s="10" t="str">
        <x:v>P0</x:v>
      </x:c>
      <x:c r="E271" s="10" t="str">
        <x:v>角色写权限矩阵</x:v>
      </x:c>
      <x:c r="F271" s="10" t="str">
        <x:v>仅自建 QA-A/QA-B 与测试资料；准备 A/B/C/D 四类账号；所有请求脱敏记录</x:v>
      </x:c>
      <x:c r="G271" s="10" t="str">
        <x:v>A/B/C 分别尝试项目管理、模型/工具/审查设置、成员角色、上传删除、报告编辑、行动编辑</x:v>
      </x:c>
      <x:c r="H271" s="10" t="str">
        <x:v>与上线前明确的权限矩阵一致
服务端独立校验
未确定规则视待决</x:v>
      </x:c>
      <x:c r="I271" s="10" t="str">
        <x:v>截图或录屏、脱敏请求响应、对象 ID、时间及相关日志</x:v>
      </x:c>
      <x:c r="J271" s="11" t="str">
        <x:v>未执行</x:v>
      </x:c>
      <x:c r="K271" s="11" t="str"/>
      <x:c r="L271" s="11" t="str"/>
      <x:c r="M271" s="11" t="str"/>
      <x:c r="N271" s="12"/>
      <x:c r="O271" s="11" t="str"/>
    </x:row>
    <x:row r="272" ht="26.399999618530273" hidden="0" customHeight="1">
      <x:c r="A272" s="10" t="str">
        <x:v>SEC-004</x:v>
      </x:c>
      <x:c r="B272" s="10" t="str">
        <x:v>09 权限与异常</x:v>
      </x:c>
      <x:c r="C272" s="10" t="str">
        <x:v>鉴权、数据隔离与输入安全</x:v>
      </x:c>
      <x:c r="D272" s="10" t="str">
        <x:v>P0</x:v>
      </x:c>
      <x:c r="E272" s="10" t="str">
        <x:v>普通成员直接管理接口</x:v>
      </x:c>
      <x:c r="F272" s="10" t="str">
        <x:v>仅自建 QA-A/QA-B 与测试资料；准备 A/B/C/D 四类账号；所有请求脱敏记录</x:v>
      </x:c>
      <x:c r="G272" s="10" t="str">
        <x:v>C 绕过 UI 发起邀请、角色修改、配置删除等管理请求</x:v>
      </x:c>
      <x:c r="H272" s="10" t="str">
        <x:v>明确拒绝，不因按钮隐藏而省略后端校验</x:v>
      </x:c>
      <x:c r="I272" s="10" t="str">
        <x:v>截图或录屏、脱敏请求响应、对象 ID、时间及相关日志</x:v>
      </x:c>
      <x:c r="J272" s="11" t="str">
        <x:v>未执行</x:v>
      </x:c>
      <x:c r="K272" s="11" t="str"/>
      <x:c r="L272" s="11" t="str"/>
      <x:c r="M272" s="11" t="str"/>
      <x:c r="N272" s="12"/>
      <x:c r="O272" s="11" t="str"/>
    </x:row>
    <x:row r="273" ht="26.399999618530273" hidden="0" customHeight="1">
      <x:c r="A273" s="10" t="str">
        <x:v>SEC-005</x:v>
      </x:c>
      <x:c r="B273" s="10" t="str">
        <x:v>09 权限与异常</x:v>
      </x:c>
      <x:c r="C273" s="10" t="str">
        <x:v>鉴权、数据隔离与输入安全</x:v>
      </x:c>
      <x:c r="D273" s="10" t="str">
        <x:v>P0</x:v>
      </x:c>
      <x:c r="E273" s="10" t="str">
        <x:v>过期与撤销授权</x:v>
      </x:c>
      <x:c r="F273" s="10" t="str">
        <x:v>仅自建 QA-A/QA-B 与测试资料；准备 A/B/C/D 四类账号；所有请求脱敏记录</x:v>
      </x:c>
      <x:c r="G273" s="10" t="str">
        <x:v>降权、归档/删除对象后复用旧页面、旧 SSE/下载链接与 Cookie</x:v>
      </x:c>
      <x:c r="H273" s="10" t="str">
        <x:v>新请求按新权限判断
没有永久旧授权</x:v>
      </x:c>
      <x:c r="I273" s="10" t="str">
        <x:v>截图或录屏、脱敏请求响应、对象 ID、时间及相关日志</x:v>
      </x:c>
      <x:c r="J273" s="11" t="str">
        <x:v>未执行</x:v>
      </x:c>
      <x:c r="K273" s="11" t="str"/>
      <x:c r="L273" s="11" t="str"/>
      <x:c r="M273" s="11" t="str"/>
      <x:c r="N273" s="12"/>
      <x:c r="O273" s="11" t="str"/>
    </x:row>
    <x:row r="274" ht="26.399999618530273" hidden="0" customHeight="1">
      <x:c r="A274" s="10" t="str">
        <x:v>SEC-006</x:v>
      </x:c>
      <x:c r="B274" s="10" t="str">
        <x:v>09 权限与异常</x:v>
      </x:c>
      <x:c r="C274" s="10" t="str">
        <x:v>鉴权、数据隔离与输入安全</x:v>
      </x:c>
      <x:c r="D274" s="10" t="str">
        <x:v>P0</x:v>
      </x:c>
      <x:c r="E274" s="10" t="str">
        <x:v>缺失/伪造内部 key</x:v>
      </x:c>
      <x:c r="F274" s="10" t="str">
        <x:v>仅自建 QA-A/QA-B 与测试资料；准备 A/B/C/D 四类账号；所有请求脱敏记录</x:v>
      </x:c>
      <x:c r="G274" s="10" t="str">
        <x:v>不带、带错误 X-Internal-Api-Key 请求全部内部 AI/回调接口</x:v>
      </x:c>
      <x:c r="H274" s="10" t="str">
        <x:v>401/403
无运行/工具/资料副作用</x:v>
      </x:c>
      <x:c r="I274" s="10" t="str">
        <x:v>截图或录屏、脱敏请求响应、对象 ID、时间及相关日志</x:v>
      </x:c>
      <x:c r="J274" s="11" t="str">
        <x:v>未执行</x:v>
      </x:c>
      <x:c r="K274" s="11" t="str"/>
      <x:c r="L274" s="11" t="str"/>
      <x:c r="M274" s="11" t="str"/>
      <x:c r="N274" s="12"/>
      <x:c r="O274" s="11" t="str"/>
    </x:row>
    <x:row r="275" ht="39.599998474121094" hidden="0" customHeight="1">
      <x:c r="A275" s="10" t="str">
        <x:v>SEC-007</x:v>
      </x:c>
      <x:c r="B275" s="10" t="str">
        <x:v>09 权限与异常</x:v>
      </x:c>
      <x:c r="C275" s="10" t="str">
        <x:v>鉴权、数据隔离与输入安全</x:v>
      </x:c>
      <x:c r="D275" s="10" t="str">
        <x:v>P0</x:v>
      </x:c>
      <x:c r="E275" s="10" t="str">
        <x:v>CSRF 拒绝</x:v>
      </x:c>
      <x:c r="F275" s="10" t="str">
        <x:v>仅自建 QA-A/QA-B 与测试资料；准备 A/B/C/D 四类账号；所有请求脱敏记录</x:v>
      </x:c>
      <x:c r="G275" s="10" t="str">
        <x:v>Cookie 存在但写请求缺/伪造 CSRF
正确 token 对照</x:v>
      </x:c>
      <x:c r="H275" s="10" t="str">
        <x:v>不合法写请求 403
合法成功
登录/登出特例按配置验证</x:v>
      </x:c>
      <x:c r="I275" s="10" t="str">
        <x:v>截图或录屏、脱敏请求响应、对象 ID、时间及相关日志</x:v>
      </x:c>
      <x:c r="J275" s="11" t="str">
        <x:v>未执行</x:v>
      </x:c>
      <x:c r="K275" s="11" t="str"/>
      <x:c r="L275" s="11" t="str"/>
      <x:c r="M275" s="11" t="str"/>
      <x:c r="N275" s="12"/>
      <x:c r="O275" s="11" t="str"/>
    </x:row>
    <x:row r="276" ht="26.399999618530273" hidden="0" customHeight="1">
      <x:c r="A276" s="10" t="str">
        <x:v>SEC-008</x:v>
      </x:c>
      <x:c r="B276" s="10" t="str">
        <x:v>09 权限与异常</x:v>
      </x:c>
      <x:c r="C276" s="10" t="str">
        <x:v>鉴权、数据隔离与输入安全</x:v>
      </x:c>
      <x:c r="D276" s="10" t="str">
        <x:v>P0</x:v>
      </x:c>
      <x:c r="E276" s="10" t="str">
        <x:v>CORS 和 Cookie 属性</x:v>
      </x:c>
      <x:c r="F276" s="10" t="str">
        <x:v>仅自建 QA-A/QA-B 与测试资料；准备 A/B/C/D 四类账号；所有请求脱敏记录</x:v>
      </x:c>
      <x:c r="G276" s="10" t="str">
        <x:v>允许/不允许 Origin 分别请求
检查生产 HttpOnly、Secure、SameSite</x:v>
      </x:c>
      <x:c r="H276" s="10" t="str">
        <x:v>未授权来源不能读响应
生产 Cookie 安全属性正确</x:v>
      </x:c>
      <x:c r="I276" s="10" t="str">
        <x:v>截图或录屏、脱敏请求响应、对象 ID、时间及相关日志</x:v>
      </x:c>
      <x:c r="J276" s="11" t="str">
        <x:v>未执行</x:v>
      </x:c>
      <x:c r="K276" s="11" t="str"/>
      <x:c r="L276" s="11" t="str"/>
      <x:c r="M276" s="11" t="str"/>
      <x:c r="N276" s="12"/>
      <x:c r="O276" s="11" t="str"/>
    </x:row>
    <x:row r="277" ht="26.399999618530273" hidden="0" customHeight="1">
      <x:c r="A277" s="10" t="str">
        <x:v>SEC-009</x:v>
      </x:c>
      <x:c r="B277" s="10" t="str">
        <x:v>09 权限与异常</x:v>
      </x:c>
      <x:c r="C277" s="10" t="str">
        <x:v>鉴权、数据隔离与输入安全</x:v>
      </x:c>
      <x:c r="D277" s="10" t="str">
        <x:v>P0</x:v>
      </x:c>
      <x:c r="E277" s="10" t="str">
        <x:v>凭据不回显</x:v>
      </x:c>
      <x:c r="F277" s="10" t="str">
        <x:v>仅自建 QA-A/QA-B 与测试资料；准备 A/B/C/D 四类账号；所有请求脱敏记录</x:v>
      </x:c>
      <x:c r="G277" s="10" t="str">
        <x:v>查看模型/工具 API、错误响应、日志、导出、浏览器存储与 bundle</x:v>
      </x:c>
      <x:c r="H277" s="10" t="str">
        <x:v>密码、短信码、真实 API key 不明文返回或记日志</x:v>
      </x:c>
      <x:c r="I277" s="10" t="str">
        <x:v>截图或录屏、脱敏请求响应、对象 ID、时间及相关日志</x:v>
      </x:c>
      <x:c r="J277" s="11" t="str">
        <x:v>未执行</x:v>
      </x:c>
      <x:c r="K277" s="11" t="str"/>
      <x:c r="L277" s="11" t="str"/>
      <x:c r="M277" s="11" t="str"/>
      <x:c r="N277" s="12"/>
      <x:c r="O277" s="11" t="str"/>
    </x:row>
    <x:row r="278" ht="26.399999618530273" hidden="0" customHeight="1">
      <x:c r="A278" s="10" t="str">
        <x:v>SEC-010</x:v>
      </x:c>
      <x:c r="B278" s="10" t="str">
        <x:v>09 权限与异常</x:v>
      </x:c>
      <x:c r="C278" s="10" t="str">
        <x:v>鉴权、数据隔离与输入安全</x:v>
      </x:c>
      <x:c r="D278" s="10" t="str">
        <x:v>P0</x:v>
      </x:c>
      <x:c r="E278" s="10" t="str">
        <x:v>XSS 内容</x:v>
      </x:c>
      <x:c r="F278" s="10" t="str">
        <x:v>仅自建 QA-A/QA-B 与测试资料；准备 A/B/C/D 四类账号；所有请求脱敏记录</x:v>
      </x:c>
      <x:c r="G278" s="10" t="str">
        <x:v>在名称、描述、文件/网页、Markdown 加 script/事件属性/危险链接测试字符串</x:v>
      </x:c>
      <x:c r="H278" s="10" t="str">
        <x:v>作为文本或被净化
不能执行 JS/偷取会话</x:v>
      </x:c>
      <x:c r="I278" s="10" t="str">
        <x:v>截图或录屏、脱敏请求响应、对象 ID、时间及相关日志</x:v>
      </x:c>
      <x:c r="J278" s="11" t="str">
        <x:v>未执行</x:v>
      </x:c>
      <x:c r="K278" s="11" t="str"/>
      <x:c r="L278" s="11" t="str"/>
      <x:c r="M278" s="11" t="str"/>
      <x:c r="N278" s="12"/>
      <x:c r="O278" s="11" t="str"/>
    </x:row>
    <x:row r="279" ht="26.399999618530273" hidden="0" customHeight="1">
      <x:c r="A279" s="10" t="str">
        <x:v>SEC-011</x:v>
      </x:c>
      <x:c r="B279" s="10" t="str">
        <x:v>09 权限与异常</x:v>
      </x:c>
      <x:c r="C279" s="10" t="str">
        <x:v>鉴权、数据隔离与输入安全</x:v>
      </x:c>
      <x:c r="D279" s="10" t="str">
        <x:v>P1</x:v>
      </x:c>
      <x:c r="E279" s="10" t="str">
        <x:v>SQL/ID 参数</x:v>
      </x:c>
      <x:c r="F279" s="10" t="str">
        <x:v>仅自建 QA-A/QA-B 与测试资料；准备 A/B/C/D 四类账号；所有请求脱敏记录</x:v>
      </x:c>
      <x:c r="G279" s="10" t="str">
        <x:v>在搜索、ID、枚举、排序、分页提交引号、非数值与边界</x:v>
      </x:c>
      <x:c r="H279" s="10" t="str">
        <x:v>安全验证
无 SQL 错误信息泄露或扩大数据范围</x:v>
      </x:c>
      <x:c r="I279" s="10" t="str">
        <x:v>截图或录屏、脱敏请求响应、对象 ID、时间及相关日志</x:v>
      </x:c>
      <x:c r="J279" s="11" t="str">
        <x:v>未执行</x:v>
      </x:c>
      <x:c r="K279" s="11" t="str"/>
      <x:c r="L279" s="11" t="str"/>
      <x:c r="M279" s="11" t="str"/>
      <x:c r="N279" s="12"/>
      <x:c r="O279" s="11" t="str"/>
    </x:row>
    <x:row r="280" ht="26.399999618530273" hidden="0" customHeight="1">
      <x:c r="A280" s="10" t="str">
        <x:v>SEC-012</x:v>
      </x:c>
      <x:c r="B280" s="10" t="str">
        <x:v>09 权限与异常</x:v>
      </x:c>
      <x:c r="C280" s="10" t="str">
        <x:v>鉴权、数据隔离与输入安全</x:v>
      </x:c>
      <x:c r="D280" s="10" t="str">
        <x:v>P0</x:v>
      </x:c>
      <x:c r="E280" s="10" t="str">
        <x:v>文件路径与下载</x:v>
      </x:c>
      <x:c r="F280" s="10" t="str">
        <x:v>仅自建 QA-A/QA-B 与测试资料；准备 A/B/C/D 四类账号；所有请求脱敏记录</x:v>
      </x:c>
      <x:c r="G280" s="10" t="str">
        <x:v>测试 ../、绝对路径、编码路径与目录外 storageKey</x:v>
      </x:c>
      <x:c r="H280" s="10" t="str">
        <x:v>不能访问目录外文件或另一用户对象
下载名安全</x:v>
      </x:c>
      <x:c r="I280" s="10" t="str">
        <x:v>截图或录屏、脱敏请求响应、对象 ID、时间及相关日志</x:v>
      </x:c>
      <x:c r="J280" s="11" t="str">
        <x:v>未执行</x:v>
      </x:c>
      <x:c r="K280" s="11" t="str"/>
      <x:c r="L280" s="11" t="str"/>
      <x:c r="M280" s="11" t="str"/>
      <x:c r="N280" s="12"/>
      <x:c r="O280" s="11" t="str"/>
    </x:row>
    <x:row r="281" ht="26.399999618530273" hidden="0" customHeight="1">
      <x:c r="A281" s="10" t="str">
        <x:v>SEC-013</x:v>
      </x:c>
      <x:c r="B281" s="10" t="str">
        <x:v>09 权限与异常</x:v>
      </x:c>
      <x:c r="C281" s="10" t="str">
        <x:v>鉴权、数据隔离与输入安全</x:v>
      </x:c>
      <x:c r="D281" s="10" t="str">
        <x:v>P0</x:v>
      </x:c>
      <x:c r="E281" s="10" t="str">
        <x:v>写工具确认防绕过</x:v>
      </x:c>
      <x:c r="F281" s="10" t="str">
        <x:v>仅自建 QA-A/QA-B 与测试资料；准备 A/B/C/D 四类账号；所有请求脱敏记录</x:v>
      </x:c>
      <x:c r="G281" s="10" t="str">
        <x:v>在正文、文档中伪造 confirmed=true 或 system 指令
接口 allowWrites/confirmed 组合测试</x:v>
      </x:c>
      <x:c r="H281" s="10" t="str">
        <x:v>权限取自可信控制层
两项均满足且工具被允许才写</x:v>
      </x:c>
      <x:c r="I281" s="10" t="str">
        <x:v>截图或录屏、脱敏请求响应、对象 ID、时间及相关日志</x:v>
      </x:c>
      <x:c r="J281" s="11" t="str">
        <x:v>未执行</x:v>
      </x:c>
      <x:c r="K281" s="11" t="str"/>
      <x:c r="L281" s="11" t="str"/>
      <x:c r="M281" s="11" t="str"/>
      <x:c r="N281" s="12"/>
      <x:c r="O281" s="11" t="str"/>
    </x:row>
    <x:row r="282" ht="39.599998474121094" hidden="0" customHeight="1">
      <x:c r="A282" s="10" t="str">
        <x:v>SEC-014</x:v>
      </x:c>
      <x:c r="B282" s="10" t="str">
        <x:v>09 权限与异常</x:v>
      </x:c>
      <x:c r="C282" s="10" t="str">
        <x:v>鉴权、数据隔离与输入安全</x:v>
      </x:c>
      <x:c r="D282" s="10" t="str">
        <x:v>P0</x:v>
      </x:c>
      <x:c r="E282" s="10" t="str">
        <x:v>证据伪造与来源归属</x:v>
      </x:c>
      <x:c r="F282" s="10" t="str">
        <x:v>仅自建 QA-A/QA-B 与测试资料；准备 A/B/C/D 四类账号；所有请求脱敏记录</x:v>
      </x:c>
      <x:c r="G282" s="10" t="str">
        <x:v>伪造 evidenceId、chunkId、assetId、页码和 Quote
跨 run 引用</x:v>
      </x:c>
      <x:c r="H282" s="10" t="str">
        <x:v>不能伪造支撑
审查拒绝或阻断
错误可解释</x:v>
      </x:c>
      <x:c r="I282" s="10" t="str">
        <x:v>截图或录屏、脱敏请求响应、对象 ID、时间及相关日志</x:v>
      </x:c>
      <x:c r="J282" s="11" t="str">
        <x:v>未执行</x:v>
      </x:c>
      <x:c r="K282" s="11" t="str"/>
      <x:c r="L282" s="11" t="str"/>
      <x:c r="M282" s="11" t="str"/>
      <x:c r="N282" s="12"/>
      <x:c r="O282" s="11" t="str"/>
    </x:row>
    <x:row r="283" ht="39.599998474121094" hidden="0" customHeight="1">
      <x:c r="A283" s="10" t="str">
        <x:v>SEC-015</x:v>
      </x:c>
      <x:c r="B283" s="10" t="str">
        <x:v>09 权限与异常</x:v>
      </x:c>
      <x:c r="C283" s="10" t="str">
        <x:v>鉴权、数据隔离与输入安全</x:v>
      </x:c>
      <x:c r="D283" s="10" t="str">
        <x:v>P0</x:v>
      </x:c>
      <x:c r="E283" s="10" t="str">
        <x:v>Prompt Injection Harness</x:v>
      </x:c>
      <x:c r="F283" s="10" t="str">
        <x:v>仅自建 QA-A/QA-B 与测试资料；准备 A/B/C/D 四类账号；所有请求脱敏记录</x:v>
      </x:c>
      <x:c r="G283" s="10" t="str">
        <x:v>运行全部内置 Harness cases
检查逐用例 evidence/结果
复验失败项</x:v>
      </x:c>
      <x:c r="H283" s="10" t="str">
        <x:v>非空用例集真实执行
没有跳过伪通过
记录模型与规则版本</x:v>
      </x:c>
      <x:c r="I283" s="10" t="str">
        <x:v>截图或录屏、脱敏请求响应、对象 ID、时间及相关日志</x:v>
      </x:c>
      <x:c r="J283" s="11" t="str">
        <x:v>未执行</x:v>
      </x:c>
      <x:c r="K283" s="11" t="str"/>
      <x:c r="L283" s="11" t="str"/>
      <x:c r="M283" s="11" t="str"/>
      <x:c r="N283" s="12"/>
      <x:c r="O283" s="11" t="str"/>
    </x:row>
    <x:row r="284" ht="26.399999618530273" hidden="0" customHeight="1">
      <x:c r="A284" s="10" t="str">
        <x:v>SEC-016</x:v>
      </x:c>
      <x:c r="B284" s="10" t="str">
        <x:v>09 权限与异常</x:v>
      </x:c>
      <x:c r="C284" s="10" t="str">
        <x:v>鉴权、数据隔离与输入安全</x:v>
      </x:c>
      <x:c r="D284" s="10" t="str">
        <x:v>P1</x:v>
      </x:c>
      <x:c r="E284" s="10" t="str">
        <x:v>审计完整性</x:v>
      </x:c>
      <x:c r="F284" s="10" t="str">
        <x:v>仅自建 QA-A/QA-B 与测试资料；准备 A/B/C/D 四类账号；所有请求脱敏记录</x:v>
      </x:c>
      <x:c r="G284" s="10" t="str">
        <x:v>注册登录、工作区/项目更改、配置修改、文件删除、报告导出、审查与行动操作</x:v>
      </x:c>
      <x:c r="H284" s="10" t="str">
        <x:v>操作者、对象、时间、结果真实
日志查询隔离且脱敏</x:v>
      </x:c>
      <x:c r="I284" s="10" t="str">
        <x:v>截图或录屏、脱敏请求响应、对象 ID、时间及相关日志</x:v>
      </x:c>
      <x:c r="J284" s="11" t="str">
        <x:v>未执行</x:v>
      </x:c>
      <x:c r="K284" s="11" t="str"/>
      <x:c r="L284" s="11" t="str"/>
      <x:c r="M284" s="11" t="str"/>
      <x:c r="N284" s="12"/>
      <x:c r="O284" s="11" t="str"/>
    </x:row>
    <x:row r="285" ht="39.599998474121094" hidden="0" customHeight="1">
      <x:c r="A285" s="10" t="str">
        <x:v>SEC-017</x:v>
      </x:c>
      <x:c r="B285" s="10" t="str">
        <x:v>09 权限与异常</x:v>
      </x:c>
      <x:c r="C285" s="10" t="str">
        <x:v>鉴权、数据隔离与输入安全</x:v>
      </x:c>
      <x:c r="D285" s="10" t="str">
        <x:v>P1</x:v>
      </x:c>
      <x:c r="E285" s="10" t="str">
        <x:v>错误响应与限流</x:v>
      </x:c>
      <x:c r="F285" s="10" t="str">
        <x:v>仅自建 QA-A/QA-B 与测试资料；准备 A/B/C/D 四类账号；所有请求脱敏记录</x:v>
      </x:c>
      <x:c r="G285" s="10" t="str">
        <x:v>404/403/400/413/429/500 模拟
检查堆栈和页面</x:v>
      </x:c>
      <x:c r="H285" s="10" t="str">
        <x:v>清晰恢复提示
不泄露内部路径/密钥
不把失败吞成空列表成功</x:v>
      </x:c>
      <x:c r="I285" s="10" t="str">
        <x:v>截图或录屏、脱敏请求响应、对象 ID、时间及相关日志</x:v>
      </x:c>
      <x:c r="J285" s="11" t="str">
        <x:v>未执行</x:v>
      </x:c>
      <x:c r="K285" s="11" t="str"/>
      <x:c r="L285" s="11" t="str"/>
      <x:c r="M285" s="11" t="str"/>
      <x:c r="N285" s="12"/>
      <x:c r="O285" s="11" t="str"/>
    </x:row>
    <x:row r="286" ht="39.599998474121094" hidden="0" customHeight="1">
      <x:c r="A286" s="10" t="str">
        <x:v>OPS-001</x:v>
      </x:c>
      <x:c r="B286" s="10" t="str">
        <x:v>10 上线准备</x:v>
      </x:c>
      <x:c r="C286" s="10" t="str">
        <x:v>队列、缓存、持久化与上线运行</x:v>
      </x:c>
      <x:c r="D286" s="10" t="str">
        <x:v>P0</x:v>
      </x:c>
      <x:c r="E286" s="10" t="str">
        <x:v>Redis 队列正常</x:v>
      </x:c>
      <x:c r="F286" s="10" t="str">
        <x:v>有数据库/MinIO/Redis/Milvus备份；破坏性实验仅 QA；先记录恢复步骤</x:v>
      </x:c>
      <x:c r="G286" s="10" t="str">
        <x:v>并发提交有限真实/供应商替身任务
看 Streams consumer/pending 与状态</x:v>
      </x:c>
      <x:c r="H286" s="10" t="str">
        <x:v>已接受任务可追踪
并发不超配置
终态正确 ACK</x:v>
      </x:c>
      <x:c r="I286" s="10" t="str">
        <x:v>截图或录屏、脱敏请求响应、对象 ID、时间及相关日志</x:v>
      </x:c>
      <x:c r="J286" s="11" t="str">
        <x:v>未执行</x:v>
      </x:c>
      <x:c r="K286" s="11" t="str"/>
      <x:c r="L286" s="11" t="str"/>
      <x:c r="M286" s="11" t="str"/>
      <x:c r="N286" s="12"/>
      <x:c r="O286" s="11" t="str"/>
    </x:row>
    <x:row r="287" ht="39.599998474121094" hidden="0" customHeight="1">
      <x:c r="A287" s="10" t="str">
        <x:v>OPS-002</x:v>
      </x:c>
      <x:c r="B287" s="10" t="str">
        <x:v>10 上线准备</x:v>
      </x:c>
      <x:c r="C287" s="10" t="str">
        <x:v>队列、缓存、持久化与上线运行</x:v>
      </x:c>
      <x:c r="D287" s="10" t="str">
        <x:v>P1</x:v>
      </x:c>
      <x:c r="E287" s="10" t="str">
        <x:v>队列异常重试</x:v>
      </x:c>
      <x:c r="F287" s="10" t="str">
        <x:v>有数据库/MinIO/Redis/Milvus备份；破坏性实验仅 QA；先记录恢复步骤</x:v>
      </x:c>
      <x:c r="G287" s="10" t="str">
        <x:v>制造基础设施瞬时故障与永久失败
观察 maxRetries</x:v>
      </x:c>
      <x:c r="H287" s="10" t="str">
        <x:v>瞬时失败按策略重试
永久失败有终态
模型业务失败不无限重跑收费</x:v>
      </x:c>
      <x:c r="I287" s="10" t="str">
        <x:v>截图或录屏、脱敏请求响应、对象 ID、时间及相关日志</x:v>
      </x:c>
      <x:c r="J287" s="11" t="str">
        <x:v>未执行</x:v>
      </x:c>
      <x:c r="K287" s="11" t="str"/>
      <x:c r="L287" s="11" t="str"/>
      <x:c r="M287" s="11" t="str"/>
      <x:c r="N287" s="12"/>
      <x:c r="O287" s="11" t="str"/>
    </x:row>
    <x:row r="288" ht="52.79999923706055" hidden="0" customHeight="1">
      <x:c r="A288" s="10" t="str">
        <x:v>OPS-003</x:v>
      </x:c>
      <x:c r="B288" s="10" t="str">
        <x:v>10 上线准备</x:v>
      </x:c>
      <x:c r="C288" s="10" t="str">
        <x:v>队列、缓存、持久化与上线运行</x:v>
      </x:c>
      <x:c r="D288" s="10" t="str">
        <x:v>P0</x:v>
      </x:c>
      <x:c r="E288" s="10" t="str">
        <x:v>Redis 不可用与恢复</x:v>
      </x:c>
      <x:c r="F288" s="10" t="str">
        <x:v>有数据库/MinIO/Redis/Milvus备份；破坏性实验仅 QA；先记录恢复步骤</x:v>
      </x:c>
      <x:c r="G288" s="10" t="str">
        <x:v>停 QA Redis
查询/提交
恢复
检查缓存/队列降级</x:v>
      </x:c>
      <x:c r="H288" s="10" t="str">
        <x:v>真实降级状态可见
承诺持久性的模式不能无提示变为易丢内存任务</x:v>
      </x:c>
      <x:c r="I288" s="10" t="str">
        <x:v>截图或录屏、脱敏请求响应、对象 ID、时间及相关日志</x:v>
      </x:c>
      <x:c r="J288" s="11" t="str">
        <x:v>未执行</x:v>
      </x:c>
      <x:c r="K288" s="11" t="str"/>
      <x:c r="L288" s="11" t="str"/>
      <x:c r="M288" s="11" t="str"/>
      <x:c r="N288" s="12"/>
      <x:c r="O288" s="11" t="str"/>
    </x:row>
    <x:row r="289" ht="52.79999923706055" hidden="0" customHeight="1">
      <x:c r="A289" s="10" t="str">
        <x:v>OPS-004</x:v>
      </x:c>
      <x:c r="B289" s="10" t="str">
        <x:v>10 上线准备</x:v>
      </x:c>
      <x:c r="C289" s="10" t="str">
        <x:v>队列、缓存、持久化与上线运行</x:v>
      </x:c>
      <x:c r="D289" s="10" t="str">
        <x:v>P1</x:v>
      </x:c>
      <x:c r="E289" s="10" t="str">
        <x:v>缓存 TTL 与 single-flight</x:v>
      </x:c>
      <x:c r="F289" s="10" t="str">
        <x:v>有数据库/MinIO/Redis/Milvus备份；破坏性实验仅 QA；先记录恢复步骤</x:v>
      </x:c>
      <x:c r="G289" s="10" t="str">
        <x:v>重复同问题、并发相同问题、等待 TTL
看计数与实际调用</x:v>
      </x:c>
      <x:c r="H289" s="10" t="str">
        <x:v>命中/未命中真实
并发去重
过期更新
结果正确</x:v>
      </x:c>
      <x:c r="I289" s="10" t="str">
        <x:v>截图或录屏、脱敏请求响应、对象 ID、时间及相关日志</x:v>
      </x:c>
      <x:c r="J289" s="11" t="str">
        <x:v>未执行</x:v>
      </x:c>
      <x:c r="K289" s="11" t="str"/>
      <x:c r="L289" s="11" t="str"/>
      <x:c r="M289" s="11" t="str"/>
      <x:c r="N289" s="12"/>
      <x:c r="O289" s="11" t="str"/>
    </x:row>
    <x:row r="290" ht="26.399999618530273" hidden="0" customHeight="1">
      <x:c r="A290" s="10" t="str">
        <x:v>OPS-005</x:v>
      </x:c>
      <x:c r="B290" s="10" t="str">
        <x:v>10 上线准备</x:v>
      </x:c>
      <x:c r="C290" s="10" t="str">
        <x:v>队列、缓存、持久化与上线运行</x:v>
      </x:c>
      <x:c r="D290" s="10" t="str">
        <x:v>P0</x:v>
      </x:c>
      <x:c r="E290" s="10" t="str">
        <x:v>缓存范围与凭据变更</x:v>
      </x:c>
      <x:c r="F290" s="10" t="str">
        <x:v>有数据库/MinIO/Redis/Milvus备份；破坏性实验仅 QA；先记录恢复步骤</x:v>
      </x:c>
      <x:c r="G290" s="10" t="str">
        <x:v>不同 workspace/project/模型/配置发同问题
更新配置再查</x:v>
      </x:c>
      <x:c r="H290" s="10" t="str">
        <x:v>缓存不会跨权限/模型返回旧敏感结果</x:v>
      </x:c>
      <x:c r="I290" s="10" t="str">
        <x:v>截图或录屏、脱敏请求响应、对象 ID、时间及相关日志</x:v>
      </x:c>
      <x:c r="J290" s="11" t="str">
        <x:v>未执行</x:v>
      </x:c>
      <x:c r="K290" s="11" t="str"/>
      <x:c r="L290" s="11" t="str"/>
      <x:c r="M290" s="11" t="str"/>
      <x:c r="N290" s="12"/>
      <x:c r="O290" s="11" t="str"/>
    </x:row>
    <x:row r="291" ht="39.599998474121094" hidden="0" customHeight="1">
      <x:c r="A291" s="10" t="str">
        <x:v>OPS-006</x:v>
      </x:c>
      <x:c r="B291" s="10" t="str">
        <x:v>10 上线准备</x:v>
      </x:c>
      <x:c r="C291" s="10" t="str">
        <x:v>队列、缓存、持久化与上线运行</x:v>
      </x:c>
      <x:c r="D291" s="10" t="str">
        <x:v>P0</x:v>
      </x:c>
      <x:c r="E291" s="10" t="str">
        <x:v>数据库故障</x:v>
      </x:c>
      <x:c r="F291" s="10" t="str">
        <x:v>有数据库/MinIO/Redis/Milvus备份；破坏性实验仅 QA；先记录恢复步骤</x:v>
      </x:c>
      <x:c r="G291" s="10" t="str">
        <x:v>断 QA PostgreSQL
调用保存和检索
恢复</x:v>
      </x:c>
      <x:c r="H291" s="10" t="str">
        <x:v>事务明确失败，不假成功
恢复无半写数据和连接泄漏</x:v>
      </x:c>
      <x:c r="I291" s="10" t="str">
        <x:v>截图或录屏、脱敏请求响应、对象 ID、时间及相关日志</x:v>
      </x:c>
      <x:c r="J291" s="11" t="str">
        <x:v>未执行</x:v>
      </x:c>
      <x:c r="K291" s="11" t="str"/>
      <x:c r="L291" s="11" t="str"/>
      <x:c r="M291" s="11" t="str"/>
      <x:c r="N291" s="12"/>
      <x:c r="O291" s="11" t="str"/>
    </x:row>
    <x:row r="292" ht="39.599998474121094" hidden="0" customHeight="1">
      <x:c r="A292" s="10" t="str">
        <x:v>OPS-007</x:v>
      </x:c>
      <x:c r="B292" s="10" t="str">
        <x:v>10 上线准备</x:v>
      </x:c>
      <x:c r="C292" s="10" t="str">
        <x:v>队列、缓存、持久化与上线运行</x:v>
      </x:c>
      <x:c r="D292" s="10" t="str">
        <x:v>P1</x:v>
      </x:c>
      <x:c r="E292" s="10" t="str">
        <x:v>Milvus 故障</x:v>
      </x:c>
      <x:c r="F292" s="10" t="str">
        <x:v>有数据库/MinIO/Redis/Milvus备份；破坏性实验仅 QA；先记录恢复步骤</x:v>
      </x:c>
      <x:c r="G292" s="10" t="str">
        <x:v>断 QA Milvus
索引、VECTOR/HYBRID 检索
恢复</x:v>
      </x:c>
      <x:c r="H292" s="10" t="str">
        <x:v>失败/降级可解释
不误称语义召回完整
恢复可重索引</x:v>
      </x:c>
      <x:c r="I292" s="10" t="str">
        <x:v>截图或录屏、脱敏请求响应、对象 ID、时间及相关日志</x:v>
      </x:c>
      <x:c r="J292" s="11" t="str">
        <x:v>未执行</x:v>
      </x:c>
      <x:c r="K292" s="11" t="str"/>
      <x:c r="L292" s="11" t="str"/>
      <x:c r="M292" s="11" t="str"/>
      <x:c r="N292" s="12"/>
      <x:c r="O292" s="11" t="str"/>
    </x:row>
    <x:row r="293" ht="39.599998474121094" hidden="0" customHeight="1">
      <x:c r="A293" s="10" t="str">
        <x:v>OPS-008</x:v>
      </x:c>
      <x:c r="B293" s="10" t="str">
        <x:v>10 上线准备</x:v>
      </x:c>
      <x:c r="C293" s="10" t="str">
        <x:v>队列、缓存、持久化与上线运行</x:v>
      </x:c>
      <x:c r="D293" s="10" t="str">
        <x:v>P1</x:v>
      </x:c>
      <x:c r="E293" s="10" t="str">
        <x:v>MinIO 故障</x:v>
      </x:c>
      <x:c r="F293" s="10" t="str">
        <x:v>有数据库/MinIO/Redis/Milvus备份；破坏性实验仅 QA；先记录恢复步骤</x:v>
      </x:c>
      <x:c r="G293" s="10" t="str">
        <x:v>断 QA 对象存储
上传、下载、生成文档
恢复</x:v>
      </x:c>
      <x:c r="H293" s="10" t="str">
        <x:v>失败无孤儿成功资产
配额回滚
恢复后正常</x:v>
      </x:c>
      <x:c r="I293" s="10" t="str">
        <x:v>截图或录屏、脱敏请求响应、对象 ID、时间及相关日志</x:v>
      </x:c>
      <x:c r="J293" s="11" t="str">
        <x:v>未执行</x:v>
      </x:c>
      <x:c r="K293" s="11" t="str"/>
      <x:c r="L293" s="11" t="str"/>
      <x:c r="M293" s="11" t="str"/>
      <x:c r="N293" s="12"/>
      <x:c r="O293" s="11" t="str"/>
    </x:row>
    <x:row r="294" ht="26.399999618530273" hidden="0" customHeight="1">
      <x:c r="A294" s="10" t="str">
        <x:v>OPS-009</x:v>
      </x:c>
      <x:c r="B294" s="10" t="str">
        <x:v>10 上线准备</x:v>
      </x:c>
      <x:c r="C294" s="10" t="str">
        <x:v>队列、缓存、持久化与上线运行</x:v>
      </x:c>
      <x:c r="D294" s="10" t="str">
        <x:v>P0</x:v>
      </x:c>
      <x:c r="E294" s="10" t="str">
        <x:v>备份与恢复演练</x:v>
      </x:c>
      <x:c r="F294" s="10" t="str">
        <x:v>有数据库/MinIO/Redis/Milvus备份；破坏性实验仅 QA；先记录恢复步骤</x:v>
      </x:c>
      <x:c r="G294" s="10" t="str">
        <x:v>备份 PostgreSQL、MinIO 对象、Milvus 数据/重建索引资料及必要 Redis 状态
恢复到新 QA 实例</x:v>
      </x:c>
      <x:c r="H294" s="10" t="str">
        <x:v>账号、项目、资料、引用、报告可用
恢复时长与丢失窗口实测</x:v>
      </x:c>
      <x:c r="I294" s="10" t="str">
        <x:v>截图或录屏、脱敏请求响应、对象 ID、时间及相关日志</x:v>
      </x:c>
      <x:c r="J294" s="11" t="str">
        <x:v>未执行</x:v>
      </x:c>
      <x:c r="K294" s="11" t="str"/>
      <x:c r="L294" s="11" t="str"/>
      <x:c r="M294" s="11" t="str"/>
      <x:c r="N294" s="12"/>
      <x:c r="O294" s="11" t="str"/>
    </x:row>
    <x:row r="295" ht="39.599998474121094" hidden="0" customHeight="1">
      <x:c r="A295" s="10" t="str">
        <x:v>OPS-010</x:v>
      </x:c>
      <x:c r="B295" s="10" t="str">
        <x:v>10 上线准备</x:v>
      </x:c>
      <x:c r="C295" s="10" t="str">
        <x:v>队列、缓存、持久化与上线运行</x:v>
      </x:c>
      <x:c r="D295" s="10" t="str">
        <x:v>P0</x:v>
      </x:c>
      <x:c r="E295" s="10" t="str">
        <x:v>迁移从空库与旧库</x:v>
      </x:c>
      <x:c r="F295" s="10" t="str">
        <x:v>有数据库/MinIO/Redis/Milvus备份；破坏性实验仅 QA；先记录恢复步骤</x:v>
      </x:c>
      <x:c r="G295" s="10" t="str">
        <x:v>空库启动 Flyway
旧版本备份库升级到当前
重复启动</x:v>
      </x:c>
      <x:c r="H295" s="10" t="str">
        <x:v>迁移顺序/校验正确
无数据损坏
回滚路径和风险记录</x:v>
      </x:c>
      <x:c r="I295" s="10" t="str">
        <x:v>截图或录屏、脱敏请求响应、对象 ID、时间及相关日志</x:v>
      </x:c>
      <x:c r="J295" s="11" t="str">
        <x:v>未执行</x:v>
      </x:c>
      <x:c r="K295" s="11" t="str"/>
      <x:c r="L295" s="11" t="str"/>
      <x:c r="M295" s="11" t="str"/>
      <x:c r="N295" s="12"/>
      <x:c r="O295" s="11" t="str"/>
    </x:row>
    <x:row r="296" ht="39.599998474121094" hidden="0" customHeight="1">
      <x:c r="A296" s="10" t="str">
        <x:v>OPS-011</x:v>
      </x:c>
      <x:c r="B296" s="10" t="str">
        <x:v>10 上线准备</x:v>
      </x:c>
      <x:c r="C296" s="10" t="str">
        <x:v>队列、缓存、持久化与上线运行</x:v>
      </x:c>
      <x:c r="D296" s="10" t="str">
        <x:v>P0</x:v>
      </x:c>
      <x:c r="E296" s="10" t="str">
        <x:v>密钥稳定性</x:v>
      </x:c>
      <x:c r="F296" s="10" t="str">
        <x:v>有数据库/MinIO/Redis/Milvus备份；破坏性实验仅 QA；先记录恢复步骤</x:v>
      </x:c>
      <x:c r="G296" s="10" t="str">
        <x:v>重启、换部署实例仍用同一 SHINKOU_ENCRYPTION_KEY
测试旧配置解密</x:v>
      </x:c>
      <x:c r="H296" s="10" t="str">
        <x:v>可解密
生产密钥保存方案稳定
轮换需要有迁移步骤</x:v>
      </x:c>
      <x:c r="I296" s="10" t="str">
        <x:v>截图或录屏、脱敏请求响应、对象 ID、时间及相关日志</x:v>
      </x:c>
      <x:c r="J296" s="11" t="str">
        <x:v>未执行</x:v>
      </x:c>
      <x:c r="K296" s="11" t="str"/>
      <x:c r="L296" s="11" t="str"/>
      <x:c r="M296" s="11" t="str"/>
      <x:c r="N296" s="12"/>
      <x:c r="O296" s="11" t="str"/>
    </x:row>
    <x:row r="297" ht="39.599998474121094" hidden="0" customHeight="1">
      <x:c r="A297" s="10" t="str">
        <x:v>OPS-012</x:v>
      </x:c>
      <x:c r="B297" s="10" t="str">
        <x:v>10 上线准备</x:v>
      </x:c>
      <x:c r="C297" s="10" t="str">
        <x:v>队列、缓存、持久化与上线运行</x:v>
      </x:c>
      <x:c r="D297" s="10" t="str">
        <x:v>P0</x:v>
      </x:c>
      <x:c r="E297" s="10" t="str">
        <x:v>健康与告警</x:v>
      </x:c>
      <x:c r="F297" s="10" t="str">
        <x:v>有数据库/MinIO/Redis/Milvus备份；破坏性实验仅 QA；先记录恢复步骤</x:v>
      </x:c>
      <x:c r="G297" s="10" t="str">
        <x:v>配置受保护的 Java health、AI runtime 状态
制造进程/依赖失败</x:v>
      </x:c>
      <x:c r="H297" s="10" t="str">
        <x:v>探针识别真实故障
401 只证明认证，不能证明健康
有明确告警</x:v>
      </x:c>
      <x:c r="I297" s="10" t="str">
        <x:v>截图或录屏、脱敏请求响应、对象 ID、时间及相关日志</x:v>
      </x:c>
      <x:c r="J297" s="11" t="str">
        <x:v>未执行</x:v>
      </x:c>
      <x:c r="K297" s="11" t="str"/>
      <x:c r="L297" s="11" t="str"/>
      <x:c r="M297" s="11" t="str"/>
      <x:c r="N297" s="12"/>
      <x:c r="O297" s="11" t="str"/>
    </x:row>
    <x:row r="298" ht="39.599998474121094" hidden="0" customHeight="1">
      <x:c r="A298" s="10" t="str">
        <x:v>OPS-013</x:v>
      </x:c>
      <x:c r="B298" s="10" t="str">
        <x:v>10 上线准备</x:v>
      </x:c>
      <x:c r="C298" s="10" t="str">
        <x:v>队列、缓存、持久化与上线运行</x:v>
      </x:c>
      <x:c r="D298" s="10" t="str">
        <x:v>P0</x:v>
      </x:c>
      <x:c r="E298" s="10" t="str">
        <x:v>生产构建与静态服务</x:v>
      </x:c>
      <x:c r="F298" s="10" t="str">
        <x:v>有数据库/MinIO/Redis/Milvus备份；破坏性实验仅 QA；先记录恢复步骤</x:v>
      </x:c>
      <x:c r="G298" s="10" t="str">
        <x:v>npm ci 后 test/type-check/build
使用正式构建经反代访问深链接</x:v>
      </x:c>
      <x:c r="H298" s="10" t="str">
        <x:v>不以 Vite dev server 上线
SPA 路由刷新正确
缓存更新策略明确</x:v>
      </x:c>
      <x:c r="I298" s="10" t="str">
        <x:v>截图或录屏、脱敏请求响应、对象 ID、时间及相关日志</x:v>
      </x:c>
      <x:c r="J298" s="11" t="str">
        <x:v>未执行</x:v>
      </x:c>
      <x:c r="K298" s="11" t="str"/>
      <x:c r="L298" s="11" t="str"/>
      <x:c r="M298" s="11" t="str"/>
      <x:c r="N298" s="12"/>
      <x:c r="O298" s="11" t="str"/>
    </x:row>
    <x:row r="299" ht="52.79999923706055" hidden="0" customHeight="1">
      <x:c r="A299" s="10" t="str">
        <x:v>OPS-014</x:v>
      </x:c>
      <x:c r="B299" s="10" t="str">
        <x:v>10 上线准备</x:v>
      </x:c>
      <x:c r="C299" s="10" t="str">
        <x:v>队列、缓存、持久化与上线运行</x:v>
      </x:c>
      <x:c r="D299" s="10" t="str">
        <x:v>P0</x:v>
      </x:c>
      <x:c r="E299" s="10" t="str">
        <x:v>生产认证与 TLS</x:v>
      </x:c>
      <x:c r="F299" s="10" t="str">
        <x:v>有数据库/MinIO/Redis/Milvus备份；破坏性实验仅 QA；先记录恢复步骤</x:v>
      </x:c>
      <x:c r="G299" s="10" t="str">
        <x:v>生产域名 HTTPS
安全 Cookie
正确 CORS
代理超时/SSE</x:v>
      </x:c>
      <x:c r="H299" s="10" t="str">
        <x:v>登录写操作和流式连接真实可用
无混合内容/跨域失败</x:v>
      </x:c>
      <x:c r="I299" s="10" t="str">
        <x:v>截图或录屏、脱敏请求响应、对象 ID、时间及相关日志</x:v>
      </x:c>
      <x:c r="J299" s="11" t="str">
        <x:v>未执行</x:v>
      </x:c>
      <x:c r="K299" s="11" t="str"/>
      <x:c r="L299" s="11" t="str"/>
      <x:c r="M299" s="11" t="str"/>
      <x:c r="N299" s="12"/>
      <x:c r="O299" s="11" t="str"/>
    </x:row>
    <x:row r="300" ht="26.399999618530273" hidden="0" customHeight="1">
      <x:c r="A300" s="10" t="str">
        <x:v>OPS-015</x:v>
      </x:c>
      <x:c r="B300" s="10" t="str">
        <x:v>10 上线准备</x:v>
      </x:c>
      <x:c r="C300" s="10" t="str">
        <x:v>队列、缓存、持久化与上线运行</x:v>
      </x:c>
      <x:c r="D300" s="10" t="str">
        <x:v>P0</x:v>
      </x:c>
      <x:c r="E300" s="10" t="str">
        <x:v>端口与默认凭据</x:v>
      </x:c>
      <x:c r="F300" s="10" t="str">
        <x:v>有数据库/MinIO/Redis/Milvus备份；破坏性实验仅 QA；先记录恢复步骤</x:v>
      </x:c>
      <x:c r="G300" s="10" t="str">
        <x:v>核对 DB/Redis/MinIO/Milvus/Neo4j/内部 AI 的网络暴露与密钥</x:v>
      </x:c>
      <x:c r="H300" s="10" t="str">
        <x:v>仅必要入口外露
默认开发密码与 internal key 已替换</x:v>
      </x:c>
      <x:c r="I300" s="10" t="str">
        <x:v>截图或录屏、脱敏请求响应、对象 ID、时间及相关日志</x:v>
      </x:c>
      <x:c r="J300" s="11" t="str">
        <x:v>未执行</x:v>
      </x:c>
      <x:c r="K300" s="11" t="str"/>
      <x:c r="L300" s="11" t="str"/>
      <x:c r="M300" s="11" t="str"/>
      <x:c r="N300" s="12"/>
      <x:c r="O300" s="11" t="str"/>
    </x:row>
    <x:row r="301" ht="39.599998474121094" hidden="0" customHeight="1">
      <x:c r="A301" s="10" t="str">
        <x:v>OPS-016</x:v>
      </x:c>
      <x:c r="B301" s="10" t="str">
        <x:v>10 上线准备</x:v>
      </x:c>
      <x:c r="C301" s="10" t="str">
        <x:v>队列、缓存、持久化与上线运行</x:v>
      </x:c>
      <x:c r="D301" s="10" t="str">
        <x:v>P0</x:v>
      </x:c>
      <x:c r="E301" s="10" t="str">
        <x:v>多实例与共享会话</x:v>
      </x:c>
      <x:c r="F301" s="10" t="str">
        <x:v>有数据库/MinIO/Redis/Milvus备份；破坏性实验仅 QA；先记录恢复步骤</x:v>
      </x:c>
      <x:c r="G301" s="10" t="str">
        <x:v>按拟上线拓扑启动多个 Java/AI Worker
请求轮转
研究消费</x:v>
      </x:c>
      <x:c r="H301" s="10" t="str">
        <x:v>会话、限流与对象访问一致
没有重复任务/报告</x:v>
      </x:c>
      <x:c r="I301" s="10" t="str">
        <x:v>截图或录屏、脱敏请求响应、对象 ID、时间及相关日志</x:v>
      </x:c>
      <x:c r="J301" s="11" t="str">
        <x:v>未执行</x:v>
      </x:c>
      <x:c r="K301" s="11" t="str"/>
      <x:c r="L301" s="11" t="str"/>
      <x:c r="M301" s="11" t="str"/>
      <x:c r="N301" s="12"/>
      <x:c r="O301" s="11" t="str"/>
    </x:row>
    <x:row r="302" ht="39.599998474121094" hidden="0" customHeight="1">
      <x:c r="A302" s="10" t="str">
        <x:v>OPS-017</x:v>
      </x:c>
      <x:c r="B302" s="10" t="str">
        <x:v>10 上线准备</x:v>
      </x:c>
      <x:c r="C302" s="10" t="str">
        <x:v>队列、缓存、持久化与上线运行</x:v>
      </x:c>
      <x:c r="D302" s="10" t="str">
        <x:v>P1</x:v>
      </x:c>
      <x:c r="E302" s="10" t="str">
        <x:v>优雅停机与在途任务</x:v>
      </x:c>
      <x:c r="F302" s="10" t="str">
        <x:v>有数据库/MinIO/Redis/Milvus备份；破坏性实验仅 QA；先记录恢复步骤</x:v>
      </x:c>
      <x:c r="G302" s="10" t="str">
        <x:v>有任务时按部署策略终止实例
再启动</x:v>
      </x:c>
      <x:c r="H302" s="10" t="str">
        <x:v>停止接新请求
在途按恢复策略处理
无永久卡 RUNNING</x:v>
      </x:c>
      <x:c r="I302" s="10" t="str">
        <x:v>截图或录屏、脱敏请求响应、对象 ID、时间及相关日志</x:v>
      </x:c>
      <x:c r="J302" s="11" t="str">
        <x:v>未执行</x:v>
      </x:c>
      <x:c r="K302" s="11" t="str"/>
      <x:c r="L302" s="11" t="str"/>
      <x:c r="M302" s="11" t="str"/>
      <x:c r="N302" s="12"/>
      <x:c r="O302" s="11" t="str"/>
    </x:row>
    <x:row r="303" ht="26.399999618530273" hidden="0" customHeight="1">
      <x:c r="A303" s="10" t="str">
        <x:v>OPS-018</x:v>
      </x:c>
      <x:c r="B303" s="10" t="str">
        <x:v>10 上线准备</x:v>
      </x:c>
      <x:c r="C303" s="10" t="str">
        <x:v>队列、缓存、持久化与上线运行</x:v>
      </x:c>
      <x:c r="D303" s="10" t="str">
        <x:v>P1</x:v>
      </x:c>
      <x:c r="E303" s="10" t="str">
        <x:v>存储保留与清理</x:v>
      </x:c>
      <x:c r="F303" s="10" t="str">
        <x:v>有数据库/MinIO/Redis/Milvus备份；破坏性实验仅 QA；先记录恢复步骤</x:v>
      </x:c>
      <x:c r="G303" s="10" t="str">
        <x:v>验证保留期配置对记录/文件的实际效果
删除与归档对象清理</x:v>
      </x:c>
      <x:c r="H303" s="10" t="str">
        <x:v>若只保存偏好、无清理任务则列未交付
不把设定天数当已清理</x:v>
      </x:c>
      <x:c r="I303" s="10" t="str">
        <x:v>截图或录屏、脱敏请求响应、对象 ID、时间及相关日志</x:v>
      </x:c>
      <x:c r="J303" s="11" t="str">
        <x:v>未执行</x:v>
      </x:c>
      <x:c r="K303" s="11" t="str"/>
      <x:c r="L303" s="11" t="str"/>
      <x:c r="M303" s="11" t="str"/>
      <x:c r="N303" s="12"/>
      <x:c r="O303" s="11" t="str"/>
    </x:row>
    <x:row r="304" ht="39.599998474121094" hidden="0" customHeight="1">
      <x:c r="A304" s="10" t="str">
        <x:v>OPS-019</x:v>
      </x:c>
      <x:c r="B304" s="10" t="str">
        <x:v>10 上线准备</x:v>
      </x:c>
      <x:c r="C304" s="10" t="str">
        <x:v>队列、缓存、持久化与上线运行</x:v>
      </x:c>
      <x:c r="D304" s="10" t="str">
        <x:v>P1</x:v>
      </x:c>
      <x:c r="E304" s="10" t="str">
        <x:v>HTTP Worker 模式</x:v>
      </x:c>
      <x:c r="F304" s="10" t="str">
        <x:v>有数据库/MinIO/Redis/Milvus备份；破坏性实验仅 QA；先记录恢复步骤</x:v>
      </x:c>
      <x:c r="G304" s="10" t="str">
        <x:v>启动隔离角色 Worker
路由合法 agent
不可达/角色错配场景</x:v>
      </x:c>
      <x:c r="H304" s="10" t="str">
        <x:v>HTTP 与进程内契约一致
鉴权、重试、超时明确
禁用时无错误依赖</x:v>
      </x:c>
      <x:c r="I304" s="10" t="str">
        <x:v>截图或录屏、脱敏请求响应、对象 ID、时间及相关日志</x:v>
      </x:c>
      <x:c r="J304" s="11" t="str">
        <x:v>未执行</x:v>
      </x:c>
      <x:c r="K304" s="11" t="str"/>
      <x:c r="L304" s="11" t="str"/>
      <x:c r="M304" s="11" t="str"/>
      <x:c r="N304" s="12"/>
      <x:c r="O304" s="11" t="str"/>
    </x:row>
    <x:row r="305" ht="26.399999618530273" hidden="0" customHeight="1">
      <x:c r="A305" s="10" t="str">
        <x:v>OPS-020</x:v>
      </x:c>
      <x:c r="B305" s="10" t="str">
        <x:v>10 上线准备</x:v>
      </x:c>
      <x:c r="C305" s="10" t="str">
        <x:v>队列、缓存、持久化与上线运行</x:v>
      </x:c>
      <x:c r="D305" s="10" t="str">
        <x:v>P1</x:v>
      </x:c>
      <x:c r="E305" s="10" t="str">
        <x:v>MCP 模式</x:v>
      </x:c>
      <x:c r="F305" s="10" t="str">
        <x:v>有数据库/MinIO/Redis/Milvus备份；破坏性实验仅 QA；先记录恢复步骤</x:v>
      </x:c>
      <x:c r="G305" s="10" t="str">
        <x:v>禁用时正常核心流程
启用本地只读 MCP 后列工具并执行允许/不允许工具</x:v>
      </x:c>
      <x:c r="H305" s="10" t="str">
        <x:v>白名单、超时和项目范围生效
MCP 失败不解除权限</x:v>
      </x:c>
      <x:c r="I305" s="10" t="str">
        <x:v>截图或录屏、脱敏请求响应、对象 ID、时间及相关日志</x:v>
      </x:c>
      <x:c r="J305" s="11" t="str">
        <x:v>未执行</x:v>
      </x:c>
      <x:c r="K305" s="11" t="str"/>
      <x:c r="L305" s="11" t="str"/>
      <x:c r="M305" s="11" t="str"/>
      <x:c r="N305" s="12"/>
      <x:c r="O305" s="11" t="str"/>
    </x:row>
    <x:row r="306" ht="26.399999618530273" hidden="0" customHeight="1">
      <x:c r="A306" s="10" t="str">
        <x:v>OPS-021</x:v>
      </x:c>
      <x:c r="B306" s="10" t="str">
        <x:v>10 上线准备</x:v>
      </x:c>
      <x:c r="C306" s="10" t="str">
        <x:v>队列、缓存、持久化与上线运行</x:v>
      </x:c>
      <x:c r="D306" s="10" t="str">
        <x:v>P1</x:v>
      </x:c>
      <x:c r="E306" s="10" t="str">
        <x:v>Neo4j 模式</x:v>
      </x:c>
      <x:c r="F306" s="10" t="str">
        <x:v>有数据库/MinIO/Redis/Milvus备份；破坏性实验仅 QA；先记录恢复步骤</x:v>
      </x:c>
      <x:c r="G306" s="10" t="str">
        <x:v>memory 与 Neo4j 分别运行图谱链路
重启并查询</x:v>
      </x:c>
      <x:c r="H306" s="10" t="str">
        <x:v>拟交付持久图谱可恢复
内存图谱持久性限制已说明</x:v>
      </x:c>
      <x:c r="I306" s="10" t="str">
        <x:v>截图或录屏、脱敏请求响应、对象 ID、时间及相关日志</x:v>
      </x:c>
      <x:c r="J306" s="11" t="str">
        <x:v>未执行</x:v>
      </x:c>
      <x:c r="K306" s="11" t="str"/>
      <x:c r="L306" s="11" t="str"/>
      <x:c r="M306" s="11" t="str"/>
      <x:c r="N306" s="12"/>
      <x:c r="O306" s="11" t="str"/>
    </x:row>
    <x:row r="307" ht="39.599998474121094" hidden="0" customHeight="1">
      <x:c r="A307" s="10" t="str">
        <x:v>OPS-022</x:v>
      </x:c>
      <x:c r="B307" s="10" t="str">
        <x:v>10 上线准备</x:v>
      </x:c>
      <x:c r="C307" s="10" t="str">
        <x:v>队列、缓存、持久化与上线运行</x:v>
      </x:c>
      <x:c r="D307" s="10" t="str">
        <x:v>P1</x:v>
      </x:c>
      <x:c r="E307" s="10" t="str">
        <x:v>运行可观测性</x:v>
      </x:c>
      <x:c r="F307" s="10" t="str">
        <x:v>有数据库/MinIO/Redis/Milvus备份；破坏性实验仅 QA；先记录恢复步骤</x:v>
      </x:c>
      <x:c r="G307" s="10" t="str">
        <x:v>逐次对照 trace/run/message/call ID、耗时、Token、失败、队列状态</x:v>
      </x:c>
      <x:c r="H307" s="10" t="str">
        <x:v>三服务可关联定位
无伪造指标
无隐藏失败</x:v>
      </x:c>
      <x:c r="I307" s="10" t="str">
        <x:v>截图或录屏、脱敏请求响应、对象 ID、时间及相关日志</x:v>
      </x:c>
      <x:c r="J307" s="11" t="str">
        <x:v>未执行</x:v>
      </x:c>
      <x:c r="K307" s="11" t="str"/>
      <x:c r="L307" s="11" t="str"/>
      <x:c r="M307" s="11" t="str"/>
      <x:c r="N307" s="12"/>
      <x:c r="O307" s="11" t="str"/>
    </x:row>
    <x:row r="308" ht="39.599998474121094" hidden="0" customHeight="1">
      <x:c r="A308" s="10" t="str">
        <x:v>LOAD-001</x:v>
      </x:c>
      <x:c r="B308" s="10" t="str">
        <x:v>10 上线准备</x:v>
      </x:c>
      <x:c r="C308" s="10" t="str">
        <x:v>性能、稳定性与兼容性</x:v>
      </x:c>
      <x:c r="D308" s="10" t="str">
        <x:v>P1</x:v>
      </x:c>
      <x:c r="E308" s="10" t="str">
        <x:v>业务 API 基准</x:v>
      </x:c>
      <x:c r="F308" s="10" t="str">
        <x:v>先确定预计并发、P95 延迟、最长任务时限、文件规模和成本上限；记录硬件与模型</x:v>
      </x:c>
      <x:c r="G308" s="10" t="str">
        <x:v>在约定并发持续 15 分钟执行登录后列表/详情/查询
记录 P50/P95/错误率</x:v>
      </x:c>
      <x:c r="H308" s="10" t="str">
        <x:v>达到已登记 SLO
无 5xx/权限泄露
不得用未定义阈值直接判通过</x:v>
      </x:c>
      <x:c r="I308" s="10" t="str">
        <x:v>截图或录屏、脱敏请求响应、对象 ID、时间及相关日志</x:v>
      </x:c>
      <x:c r="J308" s="11" t="str">
        <x:v>未执行</x:v>
      </x:c>
      <x:c r="K308" s="11" t="str"/>
      <x:c r="L308" s="11" t="str"/>
      <x:c r="M308" s="11" t="str"/>
      <x:c r="N308" s="12"/>
      <x:c r="O308" s="11" t="str"/>
    </x:row>
    <x:row r="309" ht="39.599998474121094" hidden="0" customHeight="1">
      <x:c r="A309" s="10" t="str">
        <x:v>LOAD-002</x:v>
      </x:c>
      <x:c r="B309" s="10" t="str">
        <x:v>10 上线准备</x:v>
      </x:c>
      <x:c r="C309" s="10" t="str">
        <x:v>性能、稳定性与兼容性</x:v>
      </x:c>
      <x:c r="D309" s="10" t="str">
        <x:v>P0</x:v>
      </x:c>
      <x:c r="E309" s="10" t="str">
        <x:v>核心任务并发</x:v>
      </x:c>
      <x:c r="F309" s="10" t="str">
        <x:v>先确定预计并发、P95 延迟、最长任务时限、文件规模和成本上限；记录硬件与模型</x:v>
      </x:c>
      <x:c r="G309" s="10" t="str">
        <x:v>约定并发下同时上传、检索、对话、研究
保留每项 ID 与耗时</x:v>
      </x:c>
      <x:c r="H309" s="10" t="str">
        <x:v>结果正确、预算可控
无无限排队/重复报告/跨任务串流</x:v>
      </x:c>
      <x:c r="I309" s="10" t="str">
        <x:v>截图或录屏、脱敏请求响应、对象 ID、时间及相关日志</x:v>
      </x:c>
      <x:c r="J309" s="11" t="str">
        <x:v>未执行</x:v>
      </x:c>
      <x:c r="K309" s="11" t="str"/>
      <x:c r="L309" s="11" t="str"/>
      <x:c r="M309" s="11" t="str"/>
      <x:c r="N309" s="12"/>
      <x:c r="O309" s="11" t="str"/>
    </x:row>
    <x:row r="310" ht="39.599998474121094" hidden="0" customHeight="1">
      <x:c r="A310" s="10" t="str">
        <x:v>LOAD-003</x:v>
      </x:c>
      <x:c r="B310" s="10" t="str">
        <x:v>10 上线准备</x:v>
      </x:c>
      <x:c r="C310" s="10" t="str">
        <x:v>性能、稳定性与兼容性</x:v>
      </x:c>
      <x:c r="D310" s="10" t="str">
        <x:v>P1</x:v>
      </x:c>
      <x:c r="E310" s="10" t="str">
        <x:v>持续稳定性</x:v>
      </x:c>
      <x:c r="F310" s="10" t="str">
        <x:v>先确定预计并发、P95 延迟、最长任务时限、文件规模和成本上限；记录硬件与模型</x:v>
      </x:c>
      <x:c r="G310" s="10" t="str">
        <x:v>按上线负载持续至少 2 小时
观察内存、句柄、线程、连接池、磁盘</x:v>
      </x:c>
      <x:c r="H310" s="10" t="str">
        <x:v>无持续增长、崩溃和永久挂起
记录最高占用</x:v>
      </x:c>
      <x:c r="I310" s="10" t="str">
        <x:v>截图或录屏、脱敏请求响应、对象 ID、时间及相关日志</x:v>
      </x:c>
      <x:c r="J310" s="11" t="str">
        <x:v>未执行</x:v>
      </x:c>
      <x:c r="K310" s="11" t="str"/>
      <x:c r="L310" s="11" t="str"/>
      <x:c r="M310" s="11" t="str"/>
      <x:c r="N310" s="12"/>
      <x:c r="O310" s="11" t="str"/>
    </x:row>
    <x:row r="311" ht="39.599998474121094" hidden="0" customHeight="1">
      <x:c r="A311" s="10" t="str">
        <x:v>LOAD-004</x:v>
      </x:c>
      <x:c r="B311" s="10" t="str">
        <x:v>10 上线准备</x:v>
      </x:c>
      <x:c r="C311" s="10" t="str">
        <x:v>性能、稳定性与兼容性</x:v>
      </x:c>
      <x:c r="D311" s="10" t="str">
        <x:v>P1</x:v>
      </x:c>
      <x:c r="E311" s="10" t="str">
        <x:v>取消后资源释放</x:v>
      </x:c>
      <x:c r="F311" s="10" t="str">
        <x:v>先确定预计并发、P95 延迟、最长任务时限、文件规模和成本上限；记录硬件与模型</x:v>
      </x:c>
      <x:c r="G311" s="10" t="str">
        <x:v>批量提交慢任务并取消
重复多轮
继续新请求</x:v>
      </x:c>
      <x:c r="H311" s="10" t="str">
        <x:v>资源回落
没有占满并发槽
后续任务可完成</x:v>
      </x:c>
      <x:c r="I311" s="10" t="str">
        <x:v>截图或录屏、脱敏请求响应、对象 ID、时间及相关日志</x:v>
      </x:c>
      <x:c r="J311" s="11" t="str">
        <x:v>未执行</x:v>
      </x:c>
      <x:c r="K311" s="11" t="str"/>
      <x:c r="L311" s="11" t="str"/>
      <x:c r="M311" s="11" t="str"/>
      <x:c r="N311" s="12"/>
      <x:c r="O311" s="11" t="str"/>
    </x:row>
    <x:row r="312" ht="39.599998474121094" hidden="0" customHeight="1">
      <x:c r="A312" s="10" t="str">
        <x:v>LOAD-005</x:v>
      </x:c>
      <x:c r="B312" s="10" t="str">
        <x:v>10 上线准备</x:v>
      </x:c>
      <x:c r="C312" s="10" t="str">
        <x:v>性能、稳定性与兼容性</x:v>
      </x:c>
      <x:c r="D312" s="10" t="str">
        <x:v>P1</x:v>
      </x:c>
      <x:c r="E312" s="10" t="str">
        <x:v>大资料与大量记录</x:v>
      </x:c>
      <x:c r="F312" s="10" t="str">
        <x:v>先确定预计并发、P95 延迟、最长任务时限、文件规模和成本上限；记录硬件与模型</x:v>
      </x:c>
      <x:c r="G312" s="10" t="str">
        <x:v>长文档、很多 Chunk、多个项目、长会话和大量报告列表</x:v>
      </x:c>
      <x:c r="H312" s="10" t="str">
        <x:v>分页/搜索可用
 UI 不冻结
不会一次加载无限数据</x:v>
      </x:c>
      <x:c r="I312" s="10" t="str">
        <x:v>截图或录屏、脱敏请求响应、对象 ID、时间及相关日志</x:v>
      </x:c>
      <x:c r="J312" s="11" t="str">
        <x:v>未执行</x:v>
      </x:c>
      <x:c r="K312" s="11" t="str"/>
      <x:c r="L312" s="11" t="str"/>
      <x:c r="M312" s="11" t="str"/>
      <x:c r="N312" s="12"/>
      <x:c r="O312" s="11" t="str"/>
    </x:row>
    <x:row r="313" ht="39.599998474121094" hidden="0" customHeight="1">
      <x:c r="A313" s="10" t="str">
        <x:v>LOAD-006</x:v>
      </x:c>
      <x:c r="B313" s="10" t="str">
        <x:v>10 上线准备</x:v>
      </x:c>
      <x:c r="C313" s="10" t="str">
        <x:v>性能、稳定性与兼容性</x:v>
      </x:c>
      <x:c r="D313" s="10" t="str">
        <x:v>P1</x:v>
      </x:c>
      <x:c r="E313" s="10" t="str">
        <x:v>浏览器兼容</x:v>
      </x:c>
      <x:c r="F313" s="10" t="str">
        <x:v>先确定预计并发、P95 延迟、最长任务时限、文件规模和成本上限；记录硬件与模型</x:v>
      </x:c>
      <x:c r="G313" s="10" t="str">
        <x:v>拟支持 Chrome/Edge/Firefox/Safari 中实际目标逐个执行核心闭环</x:v>
      </x:c>
      <x:c r="H313" s="10" t="str">
        <x:v>逐浏览器留结果
未测浏览器不能声称支持</x:v>
      </x:c>
      <x:c r="I313" s="10" t="str">
        <x:v>截图或录屏、脱敏请求响应、对象 ID、时间及相关日志</x:v>
      </x:c>
      <x:c r="J313" s="11" t="str">
        <x:v>未执行</x:v>
      </x:c>
      <x:c r="K313" s="11" t="str"/>
      <x:c r="L313" s="11" t="str"/>
      <x:c r="M313" s="11" t="str"/>
      <x:c r="N313" s="12"/>
      <x:c r="O313" s="11" t="str"/>
    </x:row>
    <x:row r="314" ht="39.599998474121094" hidden="0" customHeight="1">
      <x:c r="A314" s="10" t="str">
        <x:v>LOAD-007</x:v>
      </x:c>
      <x:c r="B314" s="10" t="str">
        <x:v>10 上线准备</x:v>
      </x:c>
      <x:c r="C314" s="10" t="str">
        <x:v>性能、稳定性与兼容性</x:v>
      </x:c>
      <x:c r="D314" s="10" t="str">
        <x:v>P1</x:v>
      </x:c>
      <x:c r="E314" s="10" t="str">
        <x:v>桌面与手机布局</x:v>
      </x:c>
      <x:c r="F314" s="10" t="str">
        <x:v>先确定预计并发、P95 延迟、最长任务时限、文件规模和成本上限；记录硬件与模型</x:v>
      </x:c>
      <x:c r="G314" s="10" t="str">
        <x:v>1440/1920 宽桌面，390 宽手机
100%/125%/150% 缩放，深浅主题</x:v>
      </x:c>
      <x:c r="H314" s="10" t="str">
        <x:v>核心按钮、表格、图表、弹窗可读可操作
无被遮挡关键控件</x:v>
      </x:c>
      <x:c r="I314" s="10" t="str">
        <x:v>截图或录屏、脱敏请求响应、对象 ID、时间及相关日志</x:v>
      </x:c>
      <x:c r="J314" s="11" t="str">
        <x:v>未执行</x:v>
      </x:c>
      <x:c r="K314" s="11" t="str"/>
      <x:c r="L314" s="11" t="str"/>
      <x:c r="M314" s="11" t="str"/>
      <x:c r="N314" s="12"/>
      <x:c r="O314" s="11" t="str"/>
    </x:row>
    <x:row r="315" ht="39.599998474121094" hidden="0" customHeight="1">
      <x:c r="A315" s="10" t="str">
        <x:v>LOAD-008</x:v>
      </x:c>
      <x:c r="B315" s="10" t="str">
        <x:v>10 上线准备</x:v>
      </x:c>
      <x:c r="C315" s="10" t="str">
        <x:v>性能、稳定性与兼容性</x:v>
      </x:c>
      <x:c r="D315" s="10" t="str">
        <x:v>P1</x:v>
      </x:c>
      <x:c r="E315" s="10" t="str">
        <x:v>键盘与可访问性</x:v>
      </x:c>
      <x:c r="F315" s="10" t="str">
        <x:v>先确定预计并发、P95 延迟、最长任务时限、文件规模和成本上限；记录硬件与模型</x:v>
      </x:c>
      <x:c r="G315" s="10" t="str">
        <x:v>Tab 导航、Enter 提交、Esc 关闭、弹窗焦点返回、屏幕阅读标签</x:v>
      </x:c>
      <x:c r="H315" s="10" t="str">
        <x:v>可操作无焦点陷阱
错误可读
颜色不是唯一状态表达</x:v>
      </x:c>
      <x:c r="I315" s="10" t="str">
        <x:v>截图或录屏、脱敏请求响应、对象 ID、时间及相关日志</x:v>
      </x:c>
      <x:c r="J315" s="11" t="str">
        <x:v>未执行</x:v>
      </x:c>
      <x:c r="K315" s="11" t="str"/>
      <x:c r="L315" s="11" t="str"/>
      <x:c r="M315" s="11" t="str"/>
      <x:c r="N315" s="12"/>
      <x:c r="O315" s="11" t="str"/>
    </x:row>
    <x:row r="316" ht="171.60000610351562" hidden="0" customHeight="1">
      <x:c r="A316" s="10" t="str">
        <x:v>CORE-001</x:v>
      </x:c>
      <x:c r="B316" s="10" t="str">
        <x:v>11 最终核心回归</x:v>
      </x:c>
      <x:c r="C316" s="10" t="str">
        <x:v>核心流程端到端验收</x:v>
      </x:c>
      <x:c r="D316" s="10" t="str">
        <x:v>P0</x:v>
      </x:c>
      <x:c r="E316" s="10" t="str">
        <x:v>核心闭环 A 内部知识决策</x:v>
      </x:c>
      <x:c r="F316" s="10" t="str">
        <x:v>前述配置、资料、权限测试已通过；这些用例不能拆成无关联截图代替闭环</x:v>
      </x:c>
      <x:c r="G316" s="10" t="str">
        <x:v>A 登录
建 P1
保存规划
上传 01-business.md/02-team.md
等待索引
检索
发起研究
核对报告
审查
由建议创建行动
完成行动
建评估
回看统计</x:v>
      </x:c>
      <x:c r="H316" s="10" t="str">
        <x:v>同一项目所有对象关联
事实正确并有原文证据
人工签署留证
各统计同步
全部环节真实完成</x:v>
      </x:c>
      <x:c r="I316" s="10" t="str">
        <x:v>截图或录屏、脱敏请求响应、对象 ID、时间及相关日志</x:v>
      </x:c>
      <x:c r="J316" s="11" t="str">
        <x:v>未执行</x:v>
      </x:c>
      <x:c r="K316" s="11" t="str"/>
      <x:c r="L316" s="11" t="str"/>
      <x:c r="M316" s="11" t="str"/>
      <x:c r="N316" s="12"/>
      <x:c r="O316" s="11" t="str"/>
    </x:row>
    <x:row r="317" ht="79.19999694824219" hidden="0" customHeight="1">
      <x:c r="A317" s="10" t="str">
        <x:v>CORE-002</x:v>
      </x:c>
      <x:c r="B317" s="10" t="str">
        <x:v>11 最终核心回归</x:v>
      </x:c>
      <x:c r="C317" s="10" t="str">
        <x:v>核心流程端到端验收</x:v>
      </x:c>
      <x:c r="D317" s="10" t="str">
        <x:v>P0</x:v>
      </x:c>
      <x:c r="E317" s="10" t="str">
        <x:v>核心闭环 B 外部补充</x:v>
      </x:c>
      <x:c r="F317" s="10" t="str">
        <x:v>前述配置、资料、权限测试已通过；这些用例不能拆成无关联截图代替闭环</x:v>
      </x:c>
      <x:c r="G317" s="10" t="str">
        <x:v>在 A 基础上启用真实搜索
提出需公开资料的比较目标
查看 URL/全文
保存来源
重新检索
完成报告</x:v>
      </x:c>
      <x:c r="H317" s="10" t="str">
        <x:v>来源真实可访问、内外区分
网页入库可追溯
配置/凭据未泄露</x:v>
      </x:c>
      <x:c r="I317" s="10" t="str">
        <x:v>截图或录屏、脱敏请求响应、对象 ID、时间及相关日志</x:v>
      </x:c>
      <x:c r="J317" s="11" t="str">
        <x:v>未执行</x:v>
      </x:c>
      <x:c r="K317" s="11" t="str"/>
      <x:c r="L317" s="11" t="str"/>
      <x:c r="M317" s="11" t="str"/>
      <x:c r="N317" s="12"/>
      <x:c r="O317" s="11" t="str"/>
    </x:row>
    <x:row r="318" ht="39.599998474121094" hidden="0" customHeight="1">
      <x:c r="A318" s="10" t="str">
        <x:v>CORE-003</x:v>
      </x:c>
      <x:c r="B318" s="10" t="str">
        <x:v>11 最终核心回归</x:v>
      </x:c>
      <x:c r="C318" s="10" t="str">
        <x:v>核心流程端到端验收</x:v>
      </x:c>
      <x:c r="D318" s="10" t="str">
        <x:v>P0</x:v>
      </x:c>
      <x:c r="E318" s="10" t="str">
        <x:v>核心闭环 C 冲突与不足</x:v>
      </x:c>
      <x:c r="F318" s="10" t="str">
        <x:v>前述配置、资料、权限测试已通过；这些用例不能拆成无关联截图代替闭环</x:v>
      </x:c>
      <x:c r="G318" s="10" t="str">
        <x:v>上传 03-conflict.md
提出包含冲突预算和未知生产延迟的问题
研究并审查</x:v>
      </x:c>
      <x:c r="H318" s="10" t="str">
        <x:v>冲突和缺口显式呈现
不以 32/26 万合并为新事实
不编造生产实测</x:v>
      </x:c>
      <x:c r="I318" s="10" t="str">
        <x:v>截图或录屏、脱敏请求响应、对象 ID、时间及相关日志</x:v>
      </x:c>
      <x:c r="J318" s="11" t="str">
        <x:v>未执行</x:v>
      </x:c>
      <x:c r="K318" s="11" t="str"/>
      <x:c r="L318" s="11" t="str"/>
      <x:c r="M318" s="11" t="str"/>
      <x:c r="N318" s="12"/>
      <x:c r="O318" s="11" t="str"/>
    </x:row>
    <x:row r="319" ht="79.19999694824219" hidden="0" customHeight="1">
      <x:c r="A319" s="10" t="str">
        <x:v>CORE-004</x:v>
      </x:c>
      <x:c r="B319" s="10" t="str">
        <x:v>11 最终核心回归</x:v>
      </x:c>
      <x:c r="C319" s="10" t="str">
        <x:v>核心流程端到端验收</x:v>
      </x:c>
      <x:c r="D319" s="10" t="str">
        <x:v>P0</x:v>
      </x:c>
      <x:c r="E319" s="10" t="str">
        <x:v>核心闭环 D 故障恢复</x:v>
      </x:c>
      <x:c r="F319" s="10" t="str">
        <x:v>前述配置、资料、权限测试已通过；这些用例不能拆成无关联截图代替闭环</x:v>
      </x:c>
      <x:c r="G319" s="10" t="str">
        <x:v>研究中模型失败
查看错误
修好配置
显式重试
运行中刷新
最终报告、通知、审计对账</x:v>
      </x:c>
      <x:c r="H319" s="10" t="str">
        <x:v>新旧 run 可关联
终态一致
报告不重复
功能恢复真实可用</x:v>
      </x:c>
      <x:c r="I319" s="10" t="str">
        <x:v>截图或录屏、脱敏请求响应、对象 ID、时间及相关日志</x:v>
      </x:c>
      <x:c r="J319" s="11" t="str">
        <x:v>未执行</x:v>
      </x:c>
      <x:c r="K319" s="11" t="str"/>
      <x:c r="L319" s="11" t="str"/>
      <x:c r="M319" s="11" t="str"/>
      <x:c r="N319" s="12"/>
      <x:c r="O319" s="11" t="str"/>
    </x:row>
    <x:row r="320" ht="66" hidden="0" customHeight="1">
      <x:c r="A320" s="10" t="str">
        <x:v>CORE-005</x:v>
      </x:c>
      <x:c r="B320" s="10" t="str">
        <x:v>11 最终核心回归</x:v>
      </x:c>
      <x:c r="C320" s="10" t="str">
        <x:v>核心流程端到端验收</x:v>
      </x:c>
      <x:c r="D320" s="10" t="str">
        <x:v>P0</x:v>
      </x:c>
      <x:c r="E320" s="10" t="str">
        <x:v>核心闭环 E 多用户协作</x:v>
      </x:c>
      <x:c r="F320" s="10" t="str">
        <x:v>前述配置、资料、权限测试已通过；这些用例不能拆成无关联截图代替闭环</x:v>
      </x:c>
      <x:c r="G320" s="10" t="str">
        <x:v>A 创建共享 P1
B 管理
C 做允许操作
D 试跨工作区访问
降权后再试</x:v>
      </x:c>
      <x:c r="H320" s="10" t="str">
        <x:v>协作数据一致
非法访问全部阻断
无个人配置/附件串用</x:v>
      </x:c>
      <x:c r="I320" s="10" t="str">
        <x:v>截图或录屏、脱敏请求响应、对象 ID、时间及相关日志</x:v>
      </x:c>
      <x:c r="J320" s="11" t="str">
        <x:v>未执行</x:v>
      </x:c>
      <x:c r="K320" s="11" t="str"/>
      <x:c r="L320" s="11" t="str"/>
      <x:c r="M320" s="11" t="str"/>
      <x:c r="N320" s="12"/>
      <x:c r="O320" s="11" t="str"/>
    </x:row>
    <x:row r="321" ht="79.19999694824219" hidden="0" customHeight="1">
      <x:c r="A321" s="10" t="str">
        <x:v>CORE-006</x:v>
      </x:c>
      <x:c r="B321" s="10" t="str">
        <x:v>11 最终核心回归</x:v>
      </x:c>
      <x:c r="C321" s="10" t="str">
        <x:v>核心流程端到端验收</x:v>
      </x:c>
      <x:c r="D321" s="10" t="str">
        <x:v>P0</x:v>
      </x:c>
      <x:c r="E321" s="10" t="str">
        <x:v>核心闭环 F 会话附件</x:v>
      </x:c>
      <x:c r="F321" s="10" t="str">
        <x:v>前述配置、资料、权限测试已通过；这些用例不能拆成无关联截图代替闭环</x:v>
      </x:c>
      <x:c r="G321" s="10" t="str">
        <x:v>从文件库选资料并粘贴图片到新对话
提问
流式回答
点击引用
导出
刷新</x:v>
      </x:c>
      <x:c r="H321" s="10" t="str">
        <x:v>附件读取真实
引用与导出正确
刷新可恢复
Token 记录真实</x:v>
      </x:c>
      <x:c r="I321" s="10" t="str">
        <x:v>截图或录屏、脱敏请求响应、对象 ID、时间及相关日志</x:v>
      </x:c>
      <x:c r="J321" s="11" t="str">
        <x:v>未执行</x:v>
      </x:c>
      <x:c r="K321" s="11" t="str"/>
      <x:c r="L321" s="11" t="str"/>
      <x:c r="M321" s="11" t="str"/>
      <x:c r="N321" s="12"/>
      <x:c r="O321" s="11" t="str"/>
    </x:row>
    <x:row r="322" ht="79.19999694824219" hidden="0" customHeight="1">
      <x:c r="A322" s="10" t="str">
        <x:v>CORE-007</x:v>
      </x:c>
      <x:c r="B322" s="10" t="str">
        <x:v>11 最终核心回归</x:v>
      </x:c>
      <x:c r="C322" s="10" t="str">
        <x:v>核心流程端到端验收</x:v>
      </x:c>
      <x:c r="D322" s="10" t="str">
        <x:v>P0</x:v>
      </x:c>
      <x:c r="E322" s="10" t="str">
        <x:v>核心闭环 G 删除一致性</x:v>
      </x:c>
      <x:c r="F322" s="10" t="str">
        <x:v>前述配置、资料、权限测试已通过；这些用例不能拆成无关联截图代替闭环</x:v>
      </x:c>
      <x:c r="G322" s="10" t="str">
        <x:v>在可销毁 P2 上传唯一标记
检索缓存
删除资料
再次检索/问答
删除项目
访问旧对象</x:v>
      </x:c>
      <x:c r="H322" s="10" t="str">
        <x:v>数据库、对象存储、索引、缓存、引用访问一致失效
无删除后复活</x:v>
      </x:c>
      <x:c r="I322" s="10" t="str">
        <x:v>截图或录屏、脱敏请求响应、对象 ID、时间及相关日志</x:v>
      </x:c>
      <x:c r="J322" s="11" t="str">
        <x:v>未执行</x:v>
      </x:c>
      <x:c r="K322" s="11" t="str"/>
      <x:c r="L322" s="11" t="str"/>
      <x:c r="M322" s="11" t="str"/>
      <x:c r="N322" s="12"/>
      <x:c r="O322" s="11" t="str"/>
    </x:row>
    <x:row r="323" ht="39.599998474121094" hidden="0" customHeight="1">
      <x:c r="A323" s="10" t="str">
        <x:v>CORE-008</x:v>
      </x:c>
      <x:c r="B323" s="10" t="str">
        <x:v>11 最终核心回归</x:v>
      </x:c>
      <x:c r="C323" s="10" t="str">
        <x:v>核心流程端到端验收</x:v>
      </x:c>
      <x:c r="D323" s="10" t="str">
        <x:v>P0</x:v>
      </x:c>
      <x:c r="E323" s="10" t="str">
        <x:v>核心闭环 H 发布候选重建</x:v>
      </x:c>
      <x:c r="F323" s="10" t="str">
        <x:v>前述配置、资料、权限测试已通过；这些用例不能拆成无关联截图代替闭环</x:v>
      </x:c>
      <x:c r="G323" s="10" t="str">
        <x:v>从固定代码/依赖在干净预发布环境构建
恢复测试数据
执行核心闭环 A/D/E</x:v>
      </x:c>
      <x:c r="H323" s="10" t="str">
        <x:v>独立环境可重现
没有依赖本机隐藏文件、开发默认 key 和 Vite 服务</x:v>
      </x:c>
      <x:c r="I323" s="10" t="str">
        <x:v>截图或录屏、脱敏请求响应、对象 ID、时间及相关日志</x:v>
      </x:c>
      <x:c r="J323" s="11" t="str">
        <x:v>未执行</x:v>
      </x:c>
      <x:c r="K323" s="11" t="str"/>
      <x:c r="L323" s="11" t="str"/>
      <x:c r="M323" s="11" t="str"/>
      <x:c r="N323" s="12"/>
      <x:c r="O323" s="11" t="str"/>
    </x:row>
    <x:row r="324" ht="26.399999618530273" hidden="0" customHeight="1">
      <x:c r="A324" s="10" t="str">
        <x:v>CORE-009</x:v>
      </x:c>
      <x:c r="B324" s="10" t="str">
        <x:v>11 最终核心回归</x:v>
      </x:c>
      <x:c r="C324" s="10" t="str">
        <x:v>核心流程端到端验收</x:v>
      </x:c>
      <x:c r="D324" s="10" t="str">
        <x:v>P0</x:v>
      </x:c>
      <x:c r="E324" s="10" t="str">
        <x:v>核心闭环 I 每个实际模型</x:v>
      </x:c>
      <x:c r="F324" s="10" t="str">
        <x:v>前述配置、资料、权限测试已通过；这些用例不能拆成无关联截图代替闭环</x:v>
      </x:c>
      <x:c r="G324" s="10" t="str">
        <x:v>使用每个拟上线 LLM 与 Embedding 组合运行标准问题和至少 A/C/D 流程</x:v>
      </x:c>
      <x:c r="H324" s="10" t="str">
        <x:v>逐组合报告
供应商参数、结构化输出、usage 和质量全部可验证</x:v>
      </x:c>
      <x:c r="I324" s="10" t="str">
        <x:v>截图或录屏、脱敏请求响应、对象 ID、时间及相关日志</x:v>
      </x:c>
      <x:c r="J324" s="11" t="str">
        <x:v>未执行</x:v>
      </x:c>
      <x:c r="K324" s="11" t="str"/>
      <x:c r="L324" s="11" t="str"/>
      <x:c r="M324" s="11" t="str"/>
      <x:c r="N324" s="12"/>
      <x:c r="O324" s="11" t="str"/>
    </x:row>
    <x:row r="325" ht="39.599998474121094" hidden="0" customHeight="1">
      <x:c r="A325" s="10" t="str">
        <x:v>CORE-010</x:v>
      </x:c>
      <x:c r="B325" s="10" t="str">
        <x:v>11 最终核心回归</x:v>
      </x:c>
      <x:c r="C325" s="10" t="str">
        <x:v>核心流程端到端验收</x:v>
      </x:c>
      <x:c r="D325" s="10" t="str">
        <x:v>P0</x:v>
      </x:c>
      <x:c r="E325" s="10" t="str">
        <x:v>核心闭环 J 决策人工核验</x:v>
      </x:c>
      <x:c r="F325" s="10" t="str">
        <x:v>前述配置、资料、权限测试已通过；这些用例不能拆成无关联截图代替闭环</x:v>
      </x:c>
      <x:c r="G325" s="10" t="str">
        <x:v>逐条核对事实、数字、引用支撑、建议约束、风险和来源日期
保存签署附件</x:v>
      </x:c>
      <x:c r="H325" s="10" t="str">
        <x:v>关键事实与引用 100% 正确
无法证明的主张明确限制
签署不是 UI 自动推导</x:v>
      </x:c>
      <x:c r="I325" s="10" t="str">
        <x:v>截图或录屏、脱敏请求响应、对象 ID、时间及相关日志</x:v>
      </x:c>
      <x:c r="J325" s="11" t="str">
        <x:v>未执行</x:v>
      </x:c>
      <x:c r="K325" s="11" t="str"/>
      <x:c r="L325" s="11" t="str"/>
      <x:c r="M325" s="11" t="str"/>
      <x:c r="N325" s="12"/>
      <x:c r="O325" s="11" t="str"/>
    </x:row>
    <x:row r="326" ht="39.599998474121094" hidden="0" customHeight="1">
      <x:c r="A326" s="10" t="str">
        <x:v>E2EA-001</x:v>
      </x:c>
      <x:c r="B326" s="10" t="str">
        <x:v>06 核心运行</x:v>
      </x:c>
      <x:c r="C326" s="10" t="str">
        <x:v>核心主流程逐步记录</x:v>
      </x:c>
      <x:c r="D326" s="10" t="str">
        <x:v>P0</x:v>
      </x:c>
      <x:c r="E326" s="10" t="str">
        <x:v>主流程 01 登录与工作区</x:v>
      </x:c>
      <x:c r="F326" s="10" t="str">
        <x:v>ENV/AUTH/MODEL 前置已通过；运行账本记录同一 workspaceId/projectId/assetId/runId/reportId/caseId</x:v>
      </x:c>
      <x:c r="G326" s="10" t="str">
        <x:v>A 登录 QA-A
记录当前用户 ID 和 workspaceId</x:v>
      </x:c>
      <x:c r="H326" s="10" t="str">
        <x:v>是真实登录
工作区身份正确
非模拟 API</x:v>
      </x:c>
      <x:c r="I326" s="10" t="str">
        <x:v>截图或录屏、脱敏请求响应、对象 ID、时间及相关日志</x:v>
      </x:c>
      <x:c r="J326" s="11" t="str">
        <x:v>未执行</x:v>
      </x:c>
      <x:c r="K326" s="11" t="str"/>
      <x:c r="L326" s="11" t="str"/>
      <x:c r="M326" s="11" t="str"/>
      <x:c r="N326" s="12"/>
      <x:c r="O326" s="11" t="str"/>
    </x:row>
    <x:row r="327" ht="39.599998474121094" hidden="0" customHeight="1">
      <x:c r="A327" s="10" t="str">
        <x:v>E2EA-002</x:v>
      </x:c>
      <x:c r="B327" s="10" t="str">
        <x:v>06 核心运行</x:v>
      </x:c>
      <x:c r="C327" s="10" t="str">
        <x:v>核心主流程逐步记录</x:v>
      </x:c>
      <x:c r="D327" s="10" t="str">
        <x:v>P0</x:v>
      </x:c>
      <x:c r="E327" s="10" t="str">
        <x:v>主流程 02 建立研究项目</x:v>
      </x:c>
      <x:c r="F327" s="10" t="str">
        <x:v>ENV/AUTH/MODEL 前置已通过；运行账本记录同一 workspaceId/projectId/assetId/runId/reportId/caseId</x:v>
      </x:c>
      <x:c r="G327" s="10" t="str">
        <x:v>创建 P1“QA 消息队列选型”
可见性共享
记录 projectId</x:v>
      </x:c>
      <x:c r="H327" s="10" t="str">
        <x:v>项目创建一次
名字和归属正确</x:v>
      </x:c>
      <x:c r="I327" s="10" t="str">
        <x:v>截图或录屏、脱敏请求响应、对象 ID、时间及相关日志</x:v>
      </x:c>
      <x:c r="J327" s="11" t="str">
        <x:v>未执行</x:v>
      </x:c>
      <x:c r="K327" s="11" t="str"/>
      <x:c r="L327" s="11" t="str"/>
      <x:c r="M327" s="11" t="str"/>
      <x:c r="N327" s="12"/>
      <x:c r="O327" s="11" t="str"/>
    </x:row>
    <x:row r="328" ht="39.599998474121094" hidden="0" customHeight="1">
      <x:c r="A328" s="10" t="str">
        <x:v>E2EA-003</x:v>
      </x:c>
      <x:c r="B328" s="10" t="str">
        <x:v>06 核心运行</x:v>
      </x:c>
      <x:c r="C328" s="10" t="str">
        <x:v>核心主流程逐步记录</x:v>
      </x:c>
      <x:c r="D328" s="10" t="str">
        <x:v>P0</x:v>
      </x:c>
      <x:c r="E328" s="10" t="str">
        <x:v>主流程 03 模型与工具</x:v>
      </x:c>
      <x:c r="F328" s="10" t="str">
        <x:v>ENV/AUTH/MODEL 前置已通过；运行账本记录同一 workspaceId/projectId/assetId/runId/reportId/caseId</x:v>
      </x:c>
      <x:c r="G328" s="10" t="str">
        <x:v>保存拟上线真实 LLM、Embedding
连接测试
本轮先关闭联网</x:v>
      </x:c>
      <x:c r="H328" s="10" t="str">
        <x:v>实际运行采用拟上线配置
无 mock/hash 质量替代</x:v>
      </x:c>
      <x:c r="I328" s="10" t="str">
        <x:v>截图或录屏、脱敏请求响应、对象 ID、时间及相关日志</x:v>
      </x:c>
      <x:c r="J328" s="11" t="str">
        <x:v>未执行</x:v>
      </x:c>
      <x:c r="K328" s="11" t="str"/>
      <x:c r="L328" s="11" t="str"/>
      <x:c r="M328" s="11" t="str"/>
      <x:c r="N328" s="12"/>
      <x:c r="O328" s="11" t="str"/>
    </x:row>
    <x:row r="329" ht="26.399999618530273" hidden="0" customHeight="1">
      <x:c r="A329" s="10" t="str">
        <x:v>E2EA-004</x:v>
      </x:c>
      <x:c r="B329" s="10" t="str">
        <x:v>06 核心运行</x:v>
      </x:c>
      <x:c r="C329" s="10" t="str">
        <x:v>核心主流程逐步记录</x:v>
      </x:c>
      <x:c r="D329" s="10" t="str">
        <x:v>P0</x:v>
      </x:c>
      <x:c r="E329" s="10" t="str">
        <x:v>主流程 04 规划落库</x:v>
      </x:c>
      <x:c r="F329" s="10" t="str">
        <x:v>ENV/AUTH/MODEL 前置已通过；运行账本记录同一 workspaceId/projectId/assetId/runId/reportId/caseId</x:v>
      </x:c>
      <x:c r="G329" s="10" t="str">
        <x:v>目标“结合约束比较消息队列方案并提出试点计划”
约束“预算 26 万元、周期 6 周、3 名后端工程师”保存刷新</x:v>
      </x:c>
      <x:c r="H329" s="10" t="str">
        <x:v>规划字段真实回读
run 将使用这些条件</x:v>
      </x:c>
      <x:c r="I329" s="10" t="str">
        <x:v>截图或录屏、脱敏请求响应、对象 ID、时间及相关日志</x:v>
      </x:c>
      <x:c r="J329" s="11" t="str">
        <x:v>未执行</x:v>
      </x:c>
      <x:c r="K329" s="11" t="str"/>
      <x:c r="L329" s="11" t="str"/>
      <x:c r="M329" s="11" t="str"/>
      <x:c r="N329" s="12"/>
      <x:c r="O329" s="11" t="str"/>
    </x:row>
    <x:row r="330" ht="26.399999618530273" hidden="0" customHeight="1">
      <x:c r="A330" s="10" t="str">
        <x:v>E2EA-005</x:v>
      </x:c>
      <x:c r="B330" s="10" t="str">
        <x:v>06 核心运行</x:v>
      </x:c>
      <x:c r="C330" s="10" t="str">
        <x:v>核心主流程逐步记录</x:v>
      </x:c>
      <x:c r="D330" s="10" t="str">
        <x:v>P0</x:v>
      </x:c>
      <x:c r="E330" s="10" t="str">
        <x:v>主流程 05 上传固定资料</x:v>
      </x:c>
      <x:c r="F330" s="10" t="str">
        <x:v>ENV/AUTH/MODEL 前置已通过；运行账本记录同一 workspaceId/projectId/assetId/runId/reportId/caseId</x:v>
      </x:c>
      <x:c r="G330" s="10" t="str">
        <x:v>上传 01-business.md 和 02-team.md
记录两个 assetId</x:v>
      </x:c>
      <x:c r="H330" s="10" t="str">
        <x:v>上传成功
类型、大小与项目正确</x:v>
      </x:c>
      <x:c r="I330" s="10" t="str">
        <x:v>截图或录屏、脱敏请求响应、对象 ID、时间及相关日志</x:v>
      </x:c>
      <x:c r="J330" s="11" t="str">
        <x:v>未执行</x:v>
      </x:c>
      <x:c r="K330" s="11" t="str"/>
      <x:c r="L330" s="11" t="str"/>
      <x:c r="M330" s="11" t="str"/>
      <x:c r="N330" s="12"/>
      <x:c r="O330" s="11" t="str"/>
    </x:row>
    <x:row r="331" ht="26.399999618530273" hidden="0" customHeight="1">
      <x:c r="A331" s="10" t="str">
        <x:v>E2EA-006</x:v>
      </x:c>
      <x:c r="B331" s="10" t="str">
        <x:v>06 核心运行</x:v>
      </x:c>
      <x:c r="C331" s="10" t="str">
        <x:v>核心主流程逐步记录</x:v>
      </x:c>
      <x:c r="D331" s="10" t="str">
        <x:v>P0</x:v>
      </x:c>
      <x:c r="E331" s="10" t="str">
        <x:v>主流程 06 等待真实索引</x:v>
      </x:c>
      <x:c r="F331" s="10" t="str">
        <x:v>ENV/AUTH/MODEL 前置已通过；运行账本记录同一 workspaceId/projectId/assetId/runId/reportId/caseId</x:v>
      </x:c>
      <x:c r="G331" s="10" t="str">
        <x:v>观察所有资料到 SUCCESS
记录 Chunk 数、向量配置与失败日志</x:v>
      </x:c>
      <x:c r="H331" s="10" t="str">
        <x:v>不是仅文件上传成功
真实 Chunk/向量可用</x:v>
      </x:c>
      <x:c r="I331" s="10" t="str">
        <x:v>截图或录屏、脱敏请求响应、对象 ID、时间及相关日志</x:v>
      </x:c>
      <x:c r="J331" s="11" t="str">
        <x:v>未执行</x:v>
      </x:c>
      <x:c r="K331" s="11" t="str"/>
      <x:c r="L331" s="11" t="str"/>
      <x:c r="M331" s="11" t="str"/>
      <x:c r="N331" s="12"/>
      <x:c r="O331" s="11" t="str"/>
    </x:row>
    <x:row r="332" ht="39.599998474121094" hidden="0" customHeight="1">
      <x:c r="A332" s="10" t="str">
        <x:v>E2EA-007</x:v>
      </x:c>
      <x:c r="B332" s="10" t="str">
        <x:v>06 核心运行</x:v>
      </x:c>
      <x:c r="C332" s="10" t="str">
        <x:v>核心主流程逐步记录</x:v>
      </x:c>
      <x:c r="D332" s="10" t="str">
        <x:v>P0</x:v>
      </x:c>
      <x:c r="E332" s="10" t="str">
        <x:v>主流程 07 原文与位置</x:v>
      </x:c>
      <x:c r="F332" s="10" t="str">
        <x:v>ENV/AUTH/MODEL 前置已通过；运行账本记录同一 workspaceId/projectId/assetId/runId/reportId/caseId</x:v>
      </x:c>
      <x:c r="G332" s="10" t="str">
        <x:v>查看并下载原文
定位预算和 QPS Chunk
记 chunkId/页码章节</x:v>
      </x:c>
      <x:c r="H332" s="10" t="str">
        <x:v>与 fixture 字节/内容一致
定位可追溯</x:v>
      </x:c>
      <x:c r="I332" s="10" t="str">
        <x:v>截图或录屏、脱敏请求响应、对象 ID、时间及相关日志</x:v>
      </x:c>
      <x:c r="J332" s="11" t="str">
        <x:v>未执行</x:v>
      </x:c>
      <x:c r="K332" s="11" t="str"/>
      <x:c r="L332" s="11" t="str"/>
      <x:c r="M332" s="11" t="str"/>
      <x:c r="N332" s="12"/>
      <x:c r="O332" s="11" t="str"/>
    </x:row>
    <x:row r="333" ht="26.399999618530273" hidden="0" customHeight="1">
      <x:c r="A333" s="10" t="str">
        <x:v>E2EA-008</x:v>
      </x:c>
      <x:c r="B333" s="10" t="str">
        <x:v>06 核心运行</x:v>
      </x:c>
      <x:c r="C333" s="10" t="str">
        <x:v>核心主流程逐步记录</x:v>
      </x:c>
      <x:c r="D333" s="10" t="str">
        <x:v>P0</x:v>
      </x:c>
      <x:c r="E333" s="10" t="str">
        <x:v>主流程 08 标准检索</x:v>
      </x:c>
      <x:c r="F333" s="10" t="str">
        <x:v>ENV/AUTH/MODEL 前置已通过；运行账本记录同一 workspaceId/projectId/assetId/runId/reportId/caseId</x:v>
      </x:c>
      <x:c r="G333" s="10" t="str">
        <x:v>HYBRID 搜“首期试点预算、周期与峰值负载”
打开证据</x:v>
      </x:c>
      <x:c r="H333" s="10" t="str">
        <x:v>召回 26 万元、6 周、12000 QPS
来源属于 P1</x:v>
      </x:c>
      <x:c r="I333" s="10" t="str">
        <x:v>截图或录屏、脱敏请求响应、对象 ID、时间及相关日志</x:v>
      </x:c>
      <x:c r="J333" s="11" t="str">
        <x:v>未执行</x:v>
      </x:c>
      <x:c r="K333" s="11" t="str"/>
      <x:c r="L333" s="11" t="str"/>
      <x:c r="M333" s="11" t="str"/>
      <x:c r="N333" s="12"/>
      <x:c r="O333" s="11" t="str"/>
    </x:row>
    <x:row r="334" ht="26.399999618530273" hidden="0" customHeight="1">
      <x:c r="A334" s="10" t="str">
        <x:v>E2EA-009</x:v>
      </x:c>
      <x:c r="B334" s="10" t="str">
        <x:v>06 核心运行</x:v>
      </x:c>
      <x:c r="C334" s="10" t="str">
        <x:v>核心主流程逐步记录</x:v>
      </x:c>
      <x:c r="D334" s="10" t="str">
        <x:v>P0</x:v>
      </x:c>
      <x:c r="E334" s="10" t="str">
        <x:v>主流程 09 知识问答</x:v>
      </x:c>
      <x:c r="F334" s="10" t="str">
        <x:v>ENV/AUTH/MODEL 前置已通过；运行账本记录同一 workspaceId/projectId/assetId/runId/reportId/caseId</x:v>
      </x:c>
      <x:c r="G334" s="10" t="str">
        <x:v>问“列出预算、周期、人数、SLA，区分目标和已实测事实”</x:v>
      </x:c>
      <x:c r="H334" s="10" t="str">
        <x:v>26 万元、6 周、3 人、99.95% 是目标
无已实测结果的编造</x:v>
      </x:c>
      <x:c r="I334" s="10" t="str">
        <x:v>截图或录屏、脱敏请求响应、对象 ID、时间及相关日志</x:v>
      </x:c>
      <x:c r="J334" s="11" t="str">
        <x:v>未执行</x:v>
      </x:c>
      <x:c r="K334" s="11" t="str"/>
      <x:c r="L334" s="11" t="str"/>
      <x:c r="M334" s="11" t="str"/>
      <x:c r="N334" s="12"/>
      <x:c r="O334" s="11" t="str"/>
    </x:row>
    <x:row r="335" ht="26.399999618530273" hidden="0" customHeight="1">
      <x:c r="A335" s="10" t="str">
        <x:v>E2EA-010</x:v>
      </x:c>
      <x:c r="B335" s="10" t="str">
        <x:v>06 核心运行</x:v>
      </x:c>
      <x:c r="C335" s="10" t="str">
        <x:v>核心主流程逐步记录</x:v>
      </x:c>
      <x:c r="D335" s="10" t="str">
        <x:v>P0</x:v>
      </x:c>
      <x:c r="E335" s="10" t="str">
        <x:v>主流程 10 发起研究</x:v>
      </x:c>
      <x:c r="F335" s="10" t="str">
        <x:v>ENV/AUTH/MODEL 前置已通过；运行账本记录同一 workspaceId/projectId/assetId/runId/reportId/caseId</x:v>
      </x:c>
      <x:c r="G335" s="10" t="str">
        <x:v>由最新规划点击开始智能分析
记录 runId</x:v>
      </x:c>
      <x:c r="H335" s="10" t="str">
        <x:v>保存后创建一次
导航到该运行详情</x:v>
      </x:c>
      <x:c r="I335" s="10" t="str">
        <x:v>截图或录屏、脱敏请求响应、对象 ID、时间及相关日志</x:v>
      </x:c>
      <x:c r="J335" s="11" t="str">
        <x:v>未执行</x:v>
      </x:c>
      <x:c r="K335" s="11" t="str"/>
      <x:c r="L335" s="11" t="str"/>
      <x:c r="M335" s="11" t="str"/>
      <x:c r="N335" s="12"/>
      <x:c r="O335" s="11" t="str"/>
    </x:row>
    <x:row r="336" ht="26.399999618530273" hidden="0" customHeight="1">
      <x:c r="A336" s="10" t="str">
        <x:v>E2EA-011</x:v>
      </x:c>
      <x:c r="B336" s="10" t="str">
        <x:v>06 核心运行</x:v>
      </x:c>
      <x:c r="C336" s="10" t="str">
        <x:v>核心主流程逐步记录</x:v>
      </x:c>
      <x:c r="D336" s="10" t="str">
        <x:v>P0</x:v>
      </x:c>
      <x:c r="E336" s="10" t="str">
        <x:v>主流程 11 计划与执行</x:v>
      </x:c>
      <x:c r="F336" s="10" t="str">
        <x:v>ENV/AUTH/MODEL 前置已通过；运行账本记录同一 workspaceId/projectId/assetId/runId/reportId/caseId</x:v>
      </x:c>
      <x:c r="G336" s="10" t="str">
        <x:v>观察任务、计划、检索、写作和审查
保存过程片段</x:v>
      </x:c>
      <x:c r="H336" s="10" t="str">
        <x:v>实际执行与事件对应
没有目标输入冒充结果</x:v>
      </x:c>
      <x:c r="I336" s="10" t="str">
        <x:v>截图或录屏、脱敏请求响应、对象 ID、时间及相关日志</x:v>
      </x:c>
      <x:c r="J336" s="11" t="str">
        <x:v>未执行</x:v>
      </x:c>
      <x:c r="K336" s="11" t="str"/>
      <x:c r="L336" s="11" t="str"/>
      <x:c r="M336" s="11" t="str"/>
      <x:c r="N336" s="12"/>
      <x:c r="O336" s="11" t="str"/>
    </x:row>
    <x:row r="337" ht="39.599998474121094" hidden="0" customHeight="1">
      <x:c r="A337" s="10" t="str">
        <x:v>E2EA-012</x:v>
      </x:c>
      <x:c r="B337" s="10" t="str">
        <x:v>06 核心运行</x:v>
      </x:c>
      <x:c r="C337" s="10" t="str">
        <x:v>核心主流程逐步记录</x:v>
      </x:c>
      <x:c r="D337" s="10" t="str">
        <x:v>P0</x:v>
      </x:c>
      <x:c r="E337" s="10" t="str">
        <x:v>主流程 12 运行中恢复</x:v>
      </x:c>
      <x:c r="F337" s="10" t="str">
        <x:v>ENV/AUTH/MODEL 前置已通过；运行账本记录同一 workspaceId/projectId/assetId/runId/reportId/caseId</x:v>
      </x:c>
      <x:c r="G337" s="10" t="str">
        <x:v>浏览器刷新详情
确认 runId 不变
继续等待</x:v>
      </x:c>
      <x:c r="H337" s="10" t="str">
        <x:v>任务继续
不重复提交
活动阶段与证据恢复</x:v>
      </x:c>
      <x:c r="I337" s="10" t="str">
        <x:v>截图或录屏、脱敏请求响应、对象 ID、时间及相关日志</x:v>
      </x:c>
      <x:c r="J337" s="11" t="str">
        <x:v>未执行</x:v>
      </x:c>
      <x:c r="K337" s="11" t="str"/>
      <x:c r="L337" s="11" t="str"/>
      <x:c r="M337" s="11" t="str"/>
      <x:c r="N337" s="12"/>
      <x:c r="O337" s="11" t="str"/>
    </x:row>
    <x:row r="338" ht="39.599998474121094" hidden="0" customHeight="1">
      <x:c r="A338" s="10" t="str">
        <x:v>E2EA-013</x:v>
      </x:c>
      <x:c r="B338" s="10" t="str">
        <x:v>06 核心运行</x:v>
      </x:c>
      <x:c r="C338" s="10" t="str">
        <x:v>核心主流程逐步记录</x:v>
      </x:c>
      <x:c r="D338" s="10" t="str">
        <x:v>P0</x:v>
      </x:c>
      <x:c r="E338" s="10" t="str">
        <x:v>主流程 13 最终结果</x:v>
      </x:c>
      <x:c r="F338" s="10" t="str">
        <x:v>ENV/AUTH/MODEL 前置已通过；运行账本记录同一 workspaceId/projectId/assetId/runId/reportId/caseId</x:v>
      </x:c>
      <x:c r="G338" s="10" t="str">
        <x:v>等终态
检查目标、结果、限制和完成时间</x:v>
      </x:c>
      <x:c r="H338" s="10" t="str">
        <x:v>真实 COMPLETED
有最终结果
耗时停止增长</x:v>
      </x:c>
      <x:c r="I338" s="10" t="str">
        <x:v>截图或录屏、脱敏请求响应、对象 ID、时间及相关日志</x:v>
      </x:c>
      <x:c r="J338" s="11" t="str">
        <x:v>未执行</x:v>
      </x:c>
      <x:c r="K338" s="11" t="str"/>
      <x:c r="L338" s="11" t="str"/>
      <x:c r="M338" s="11" t="str"/>
      <x:c r="N338" s="12"/>
      <x:c r="O338" s="11" t="str"/>
    </x:row>
    <x:row r="339" ht="39.599998474121094" hidden="0" customHeight="1">
      <x:c r="A339" s="10" t="str">
        <x:v>E2EA-014</x:v>
      </x:c>
      <x:c r="B339" s="10" t="str">
        <x:v>06 核心运行</x:v>
      </x:c>
      <x:c r="C339" s="10" t="str">
        <x:v>核心主流程逐步记录</x:v>
      </x:c>
      <x:c r="D339" s="10" t="str">
        <x:v>P0</x:v>
      </x:c>
      <x:c r="E339" s="10" t="str">
        <x:v>主流程 14 报告持久化</x:v>
      </x:c>
      <x:c r="F339" s="10" t="str">
        <x:v>ENV/AUTH/MODEL 前置已通过；运行账本记录同一 workspaceId/projectId/assetId/runId/reportId/caseId</x:v>
      </x:c>
      <x:c r="G339" s="10" t="str">
        <x:v>从 run 打开报告
记录 reportId
刷新报告页</x:v>
      </x:c>
      <x:c r="H339" s="10" t="str">
        <x:v>正文与同一 run 对应
重开仍可读</x:v>
      </x:c>
      <x:c r="I339" s="10" t="str">
        <x:v>截图或录屏、脱敏请求响应、对象 ID、时间及相关日志</x:v>
      </x:c>
      <x:c r="J339" s="11" t="str">
        <x:v>未执行</x:v>
      </x:c>
      <x:c r="K339" s="11" t="str"/>
      <x:c r="L339" s="11" t="str"/>
      <x:c r="M339" s="11" t="str"/>
      <x:c r="N339" s="12"/>
      <x:c r="O339" s="11" t="str"/>
    </x:row>
    <x:row r="340" ht="26.399999618530273" hidden="0" customHeight="1">
      <x:c r="A340" s="10" t="str">
        <x:v>E2EA-015</x:v>
      </x:c>
      <x:c r="B340" s="10" t="str">
        <x:v>06 核心运行</x:v>
      </x:c>
      <x:c r="C340" s="10" t="str">
        <x:v>核心主流程逐步记录</x:v>
      </x:c>
      <x:c r="D340" s="10" t="str">
        <x:v>P0</x:v>
      </x:c>
      <x:c r="E340" s="10" t="str">
        <x:v>主流程 15 引用核验</x:v>
      </x:c>
      <x:c r="F340" s="10" t="str">
        <x:v>ENV/AUTH/MODEL 前置已通过；运行账本记录同一 workspaceId/projectId/assetId/runId/reportId/caseId</x:v>
      </x:c>
      <x:c r="G340" s="10" t="str">
        <x:v>逐条打开事实引用
核验原文、Chunk、数值与归属</x:v>
      </x:c>
      <x:c r="H340" s="10" t="str">
        <x:v>所有关键事实受真实证据支持
没有跨项目或伪引用</x:v>
      </x:c>
      <x:c r="I340" s="10" t="str">
        <x:v>截图或录屏、脱敏请求响应、对象 ID、时间及相关日志</x:v>
      </x:c>
      <x:c r="J340" s="11" t="str">
        <x:v>未执行</x:v>
      </x:c>
      <x:c r="K340" s="11" t="str"/>
      <x:c r="L340" s="11" t="str"/>
      <x:c r="M340" s="11" t="str"/>
      <x:c r="N340" s="12"/>
      <x:c r="O340" s="11" t="str"/>
    </x:row>
    <x:row r="341" ht="39.599998474121094" hidden="0" customHeight="1">
      <x:c r="A341" s="10" t="str">
        <x:v>E2EA-016</x:v>
      </x:c>
      <x:c r="B341" s="10" t="str">
        <x:v>06 核心运行</x:v>
      </x:c>
      <x:c r="C341" s="10" t="str">
        <x:v>核心主流程逐步记录</x:v>
      </x:c>
      <x:c r="D341" s="10" t="str">
        <x:v>P0</x:v>
      </x:c>
      <x:c r="E341" s="10" t="str">
        <x:v>主流程 16 标准评估</x:v>
      </x:c>
      <x:c r="F341" s="10" t="str">
        <x:v>ENV/AUTH/MODEL 前置已通过；运行账本记录同一 workspaceId/projectId/assetId/runId/reportId/caseId</x:v>
      </x:c>
      <x:c r="G341" s="10" t="str">
        <x:v>把标准问题及真实 chunkId 建成用例
运行检索评估
人工回答核验</x:v>
      </x:c>
      <x:c r="H341" s="10" t="str">
        <x:v>Recall@5 有真实命中计数
未知引用/JSON 分不伪造
人工质量记录完整</x:v>
      </x:c>
      <x:c r="I341" s="10" t="str">
        <x:v>截图或录屏、脱敏请求响应、对象 ID、时间及相关日志</x:v>
      </x:c>
      <x:c r="J341" s="11" t="str">
        <x:v>未执行</x:v>
      </x:c>
      <x:c r="K341" s="11" t="str"/>
      <x:c r="L341" s="11" t="str"/>
      <x:c r="M341" s="11" t="str"/>
      <x:c r="N341" s="12"/>
      <x:c r="O341" s="11" t="str"/>
    </x:row>
    <x:row r="342" ht="39.599998474121094" hidden="0" customHeight="1">
      <x:c r="A342" s="10" t="str">
        <x:v>E2EA-017</x:v>
      </x:c>
      <x:c r="B342" s="10" t="str">
        <x:v>06 核心运行</x:v>
      </x:c>
      <x:c r="C342" s="10" t="str">
        <x:v>核心主流程逐步记录</x:v>
      </x:c>
      <x:c r="D342" s="10" t="str">
        <x:v>P0</x:v>
      </x:c>
      <x:c r="E342" s="10" t="str">
        <x:v>主流程 17 审查与签署</x:v>
      </x:c>
      <x:c r="F342" s="10" t="str">
        <x:v>ENV/AUTH/MODEL 前置已通过；运行账本记录同一 workspaceId/projectId/assetId/runId/reportId/caseId</x:v>
      </x:c>
      <x:c r="G342" s="10" t="str">
        <x:v>保存引用/数字/冲突/外部规则
运行项目审查
负责人记录签署</x:v>
      </x:c>
      <x:c r="H342" s="10" t="str">
        <x:v>缺项阻断
具备不等于自动通过
签署证据独立留存</x:v>
      </x:c>
      <x:c r="I342" s="10" t="str">
        <x:v>截图或录屏、脱敏请求响应、对象 ID、时间及相关日志</x:v>
      </x:c>
      <x:c r="J342" s="11" t="str">
        <x:v>未执行</x:v>
      </x:c>
      <x:c r="K342" s="11" t="str"/>
      <x:c r="L342" s="11" t="str"/>
      <x:c r="M342" s="11" t="str"/>
      <x:c r="N342" s="12"/>
      <x:c r="O342" s="11" t="str"/>
    </x:row>
    <x:row r="343" ht="39.599998474121094" hidden="0" customHeight="1">
      <x:c r="A343" s="10" t="str">
        <x:v>E2EA-018</x:v>
      </x:c>
      <x:c r="B343" s="10" t="str">
        <x:v>06 核心运行</x:v>
      </x:c>
      <x:c r="C343" s="10" t="str">
        <x:v>核心主流程逐步记录</x:v>
      </x:c>
      <x:c r="D343" s="10" t="str">
        <x:v>P0</x:v>
      </x:c>
      <x:c r="E343" s="10" t="str">
        <x:v>主流程 18 报告编辑发布</x:v>
      </x:c>
      <x:c r="F343" s="10" t="str">
        <x:v>ENV/AUTH/MODEL 前置已通过；运行账本记录同一 workspaceId/projectId/assetId/runId/reportId/caseId</x:v>
      </x:c>
      <x:c r="G343" s="10" t="str">
        <x:v>修改一项可确认的建议
重新审查与签署后切换报告状态</x:v>
      </x:c>
      <x:c r="H343" s="10" t="str">
        <x:v>新版与新审查关联
发布责任清楚
不能绕过已确认门禁</x:v>
      </x:c>
      <x:c r="I343" s="10" t="str">
        <x:v>截图或录屏、脱敏请求响应、对象 ID、时间及相关日志</x:v>
      </x:c>
      <x:c r="J343" s="11" t="str">
        <x:v>未执行</x:v>
      </x:c>
      <x:c r="K343" s="11" t="str"/>
      <x:c r="L343" s="11" t="str"/>
      <x:c r="M343" s="11" t="str"/>
      <x:c r="N343" s="12"/>
      <x:c r="O343" s="11" t="str"/>
    </x:row>
    <x:row r="344" ht="39.599998474121094" hidden="0" customHeight="1">
      <x:c r="A344" s="10" t="str">
        <x:v>E2EA-019</x:v>
      </x:c>
      <x:c r="B344" s="10" t="str">
        <x:v>06 核心运行</x:v>
      </x:c>
      <x:c r="C344" s="10" t="str">
        <x:v>核心主流程逐步记录</x:v>
      </x:c>
      <x:c r="D344" s="10" t="str">
        <x:v>P0</x:v>
      </x:c>
      <x:c r="E344" s="10" t="str">
        <x:v>主流程 19 创建来源行动</x:v>
      </x:c>
      <x:c r="F344" s="10" t="str">
        <x:v>ENV/AUTH/MODEL 前置已通过；运行账本记录同一 workspaceId/projectId/assetId/runId/reportId/caseId</x:v>
      </x:c>
      <x:c r="G344" s="10" t="str">
        <x:v>从报告建议转行动
填写负责人、HIGH、测试未来截止日
确认保存</x:v>
      </x:c>
      <x:c r="H344" s="10" t="str">
        <x:v>来源报告记录完整
新行动真实创建</x:v>
      </x:c>
      <x:c r="I344" s="10" t="str">
        <x:v>截图或录屏、脱敏请求响应、对象 ID、时间及相关日志</x:v>
      </x:c>
      <x:c r="J344" s="11" t="str">
        <x:v>未执行</x:v>
      </x:c>
      <x:c r="K344" s="11" t="str"/>
      <x:c r="L344" s="11" t="str"/>
      <x:c r="M344" s="11" t="str"/>
      <x:c r="N344" s="12"/>
      <x:c r="O344" s="11" t="str"/>
    </x:row>
    <x:row r="345" ht="26.399999618530273" hidden="0" customHeight="1">
      <x:c r="A345" s="10" t="str">
        <x:v>E2EA-020</x:v>
      </x:c>
      <x:c r="B345" s="10" t="str">
        <x:v>06 核心运行</x:v>
      </x:c>
      <x:c r="C345" s="10" t="str">
        <x:v>核心主流程逐步记录</x:v>
      </x:c>
      <x:c r="D345" s="10" t="str">
        <x:v>P0</x:v>
      </x:c>
      <x:c r="E345" s="10" t="str">
        <x:v>主流程 20 行动闭环</x:v>
      </x:c>
      <x:c r="F345" s="10" t="str">
        <x:v>ENV/AUTH/MODEL 前置已通过；运行账本记录同一 workspaceId/projectId/assetId/runId/reportId/caseId</x:v>
      </x:c>
      <x:c r="G345" s="10" t="str">
        <x:v>行动 DRAFT→IN_PROGRESS→DONE
刷新列表与详情</x:v>
      </x:c>
      <x:c r="H345" s="10" t="str">
        <x:v>状态真实落库
待跟进数量对应变化</x:v>
      </x:c>
      <x:c r="I345" s="10" t="str">
        <x:v>截图或录屏、脱敏请求响应、对象 ID、时间及相关日志</x:v>
      </x:c>
      <x:c r="J345" s="11" t="str">
        <x:v>未执行</x:v>
      </x:c>
      <x:c r="K345" s="11" t="str"/>
      <x:c r="L345" s="11" t="str"/>
      <x:c r="M345" s="11" t="str"/>
      <x:c r="N345" s="12"/>
      <x:c r="O345" s="11" t="str"/>
    </x:row>
    <x:row r="346" ht="39.599998474121094" hidden="0" customHeight="1">
      <x:c r="A346" s="10" t="str">
        <x:v>E2EA-021</x:v>
      </x:c>
      <x:c r="B346" s="10" t="str">
        <x:v>06 核心运行</x:v>
      </x:c>
      <x:c r="C346" s="10" t="str">
        <x:v>核心主流程逐步记录</x:v>
      </x:c>
      <x:c r="D346" s="10" t="str">
        <x:v>P0</x:v>
      </x:c>
      <x:c r="E346" s="10" t="str">
        <x:v>主流程 21 汇总和导出</x:v>
      </x:c>
      <x:c r="F346" s="10" t="str">
        <x:v>ENV/AUTH/MODEL 前置已通过；运行账本记录同一 workspaceId/projectId/assetId/runId/reportId/caseId</x:v>
      </x:c>
      <x:c r="G346" s="10" t="str">
        <x:v>导出报告、项目快照、会话
核对工作区/项目统计、Token、通知、审计</x:v>
      </x:c>
      <x:c r="H346" s="10" t="str">
        <x:v>数据与该轮对象对账
文件可读
真实用量无估造</x:v>
      </x:c>
      <x:c r="I346" s="10" t="str">
        <x:v>截图或录屏、脱敏请求响应、对象 ID、时间及相关日志</x:v>
      </x:c>
      <x:c r="J346" s="11" t="str">
        <x:v>未执行</x:v>
      </x:c>
      <x:c r="K346" s="11" t="str"/>
      <x:c r="L346" s="11" t="str"/>
      <x:c r="M346" s="11" t="str"/>
      <x:c r="N346" s="12"/>
      <x:c r="O346" s="11" t="str"/>
    </x:row>
    <x:row r="347" ht="39.599998474121094" hidden="0" customHeight="1">
      <x:c r="A347" s="10" t="str">
        <x:v>E2EA-022</x:v>
      </x:c>
      <x:c r="B347" s="10" t="str">
        <x:v>06 核心运行</x:v>
      </x:c>
      <x:c r="C347" s="10" t="str">
        <x:v>核心主流程逐步记录</x:v>
      </x:c>
      <x:c r="D347" s="10" t="str">
        <x:v>P0</x:v>
      </x:c>
      <x:c r="E347" s="10" t="str">
        <x:v>主流程 22 重开全部对象</x:v>
      </x:c>
      <x:c r="F347" s="10" t="str">
        <x:v>ENV/AUTH/MODEL 前置已通过；运行账本记录同一 workspaceId/projectId/assetId/runId/reportId/caseId</x:v>
      </x:c>
      <x:c r="G347" s="10" t="str">
        <x:v>退出再登录
用账本 ID 打开原资料、run、report、action、case</x:v>
      </x:c>
      <x:c r="H347" s="10" t="str">
        <x:v>全链路持久化正确
仅合法用户可访问
没有仅内存演示状态</x:v>
      </x:c>
      <x:c r="I347" s="10" t="str">
        <x:v>截图或录屏、脱敏请求响应、对象 ID、时间及相关日志</x:v>
      </x:c>
      <x:c r="J347" s="11" t="str">
        <x:v>未执行</x:v>
      </x:c>
      <x:c r="K347" s="11" t="str"/>
      <x:c r="L347" s="11" t="str"/>
      <x:c r="M347" s="11" t="str"/>
      <x:c r="N347" s="12"/>
      <x:c r="O347" s="11" t="str"/>
    </x:row>
    <x:row r="348" ht="52.79999923706055" hidden="0" customHeight="1">
      <x:c r="A348" s="10" t="str">
        <x:v>FMT-001</x:v>
      </x:c>
      <x:c r="B348" s="10" t="str">
        <x:v>04 文件与索引</x:v>
      </x:c>
      <x:c r="C348" s="10" t="str">
        <x:v>所有支持文件格式</x:v>
      </x:c>
      <x:c r="D348" s="10" t="str">
        <x:v>P1</x:v>
      </x:c>
      <x:c r="E348" s="10" t="str">
        <x:v>.aac 原生文件解析</x:v>
      </x:c>
      <x:c r="F348" s="10" t="str">
        <x:v>真实原生格式样本；绝不能靠重命名后缀制造样本；对应依赖已就绪</x:v>
      </x:c>
      <x:c r="G348" s="10" t="str">
        <x:v>准备真实 .aac 文件，写入/录入唯一标记、26 万/6 周等标准事实
分别知识库上传索引、检索与 Agent 附件提问
查看来源位置</x:v>
      </x:c>
      <x:c r="H348" s="10" t="str">
        <x:v>真实音频编码、FFmpeg/解码、Whisper正常
提取标准事实与元数据
缺依赖明示警告/失败
不得把改后缀二进制当有效样例</x:v>
      </x:c>
      <x:c r="I348" s="10" t="str">
        <x:v>截图或录屏、脱敏请求响应、对象 ID、时间及相关日志</x:v>
      </x:c>
      <x:c r="J348" s="11" t="str">
        <x:v>未执行</x:v>
      </x:c>
      <x:c r="K348" s="11" t="str"/>
      <x:c r="L348" s="11" t="str"/>
      <x:c r="M348" s="11" t="str"/>
      <x:c r="N348" s="12"/>
      <x:c r="O348" s="11" t="str"/>
    </x:row>
    <x:row r="349" ht="52.79999923706055" hidden="0" customHeight="1">
      <x:c r="A349" s="10" t="str">
        <x:v>FMT-002</x:v>
      </x:c>
      <x:c r="B349" s="10" t="str">
        <x:v>04 文件与索引</x:v>
      </x:c>
      <x:c r="C349" s="10" t="str">
        <x:v>所有支持文件格式</x:v>
      </x:c>
      <x:c r="D349" s="10" t="str">
        <x:v>P1</x:v>
      </x:c>
      <x:c r="E349" s="10" t="str">
        <x:v>.avi 原生文件解析</x:v>
      </x:c>
      <x:c r="F349" s="10" t="str">
        <x:v>真实原生格式样本；绝不能靠重命名后缀制造样本；对应依赖已就绪</x:v>
      </x:c>
      <x:c r="G349" s="10" t="str">
        <x:v>准备真实 .avi 文件，写入/录入唯一标记、26 万/6 周等标准事实
分别知识库上传索引、检索与 Agent 附件提问
查看来源位置</x:v>
      </x:c>
      <x:c r="H349" s="10" t="str">
        <x:v>真实视频编码、FFmpeg/Whisper、抽帧 OCR正常
提取标准事实与元数据
缺依赖明示警告/失败
不得把改后缀二进制当有效样例</x:v>
      </x:c>
      <x:c r="I349" s="10" t="str">
        <x:v>截图或录屏、脱敏请求响应、对象 ID、时间及相关日志</x:v>
      </x:c>
      <x:c r="J349" s="11" t="str">
        <x:v>未执行</x:v>
      </x:c>
      <x:c r="K349" s="11" t="str"/>
      <x:c r="L349" s="11" t="str"/>
      <x:c r="M349" s="11" t="str"/>
      <x:c r="N349" s="12"/>
      <x:c r="O349" s="11" t="str"/>
    </x:row>
    <x:row r="350" ht="52.79999923706055" hidden="0" customHeight="1">
      <x:c r="A350" s="10" t="str">
        <x:v>FMT-003</x:v>
      </x:c>
      <x:c r="B350" s="10" t="str">
        <x:v>04 文件与索引</x:v>
      </x:c>
      <x:c r="C350" s="10" t="str">
        <x:v>所有支持文件格式</x:v>
      </x:c>
      <x:c r="D350" s="10" t="str">
        <x:v>P1</x:v>
      </x:c>
      <x:c r="E350" s="10" t="str">
        <x:v>.bmp 原生文件解析</x:v>
      </x:c>
      <x:c r="F350" s="10" t="str">
        <x:v>真实原生格式样本；绝不能靠重命名后缀制造样本；对应依赖已就绪</x:v>
      </x:c>
      <x:c r="G350" s="10" t="str">
        <x:v>准备真实 .bmp 文件，写入/录入唯一标记、26 万/6 周等标准事实
分别知识库上传索引、检索与 Agent 附件提问
查看来源位置</x:v>
      </x:c>
      <x:c r="H350" s="10" t="str">
        <x:v>真实图像编码及 Tesseract OCR正常
提取标准事实与元数据
缺依赖明示警告/失败
不得把改后缀二进制当有效样例</x:v>
      </x:c>
      <x:c r="I350" s="10" t="str">
        <x:v>截图或录屏、脱敏请求响应、对象 ID、时间及相关日志</x:v>
      </x:c>
      <x:c r="J350" s="11" t="str">
        <x:v>未执行</x:v>
      </x:c>
      <x:c r="K350" s="11" t="str"/>
      <x:c r="L350" s="11" t="str"/>
      <x:c r="M350" s="11" t="str"/>
      <x:c r="N350" s="12"/>
      <x:c r="O350" s="11" t="str"/>
    </x:row>
    <x:row r="351" ht="52.79999923706055" hidden="0" customHeight="1">
      <x:c r="A351" s="10" t="str">
        <x:v>FMT-004</x:v>
      </x:c>
      <x:c r="B351" s="10" t="str">
        <x:v>04 文件与索引</x:v>
      </x:c>
      <x:c r="C351" s="10" t="str">
        <x:v>所有支持文件格式</x:v>
      </x:c>
      <x:c r="D351" s="10" t="str">
        <x:v>P1</x:v>
      </x:c>
      <x:c r="E351" s="10" t="str">
        <x:v>.csv 原生文件解析</x:v>
      </x:c>
      <x:c r="F351" s="10" t="str">
        <x:v>真实原生格式样本；绝不能靠重命名后缀制造样本；对应依赖已就绪</x:v>
      </x:c>
      <x:c r="G351" s="10" t="str">
        <x:v>准备真实 .csv 文件，写入/录入唯一标记、26 万/6 周等标准事实
分别知识库上传索引、检索与 Agent 附件提问
查看来源位置</x:v>
      </x:c>
      <x:c r="H351" s="10" t="str">
        <x:v>原生文本/结构解析正常
提取标准事实与元数据
缺依赖明示警告/失败
不得把改后缀二进制当有效样例</x:v>
      </x:c>
      <x:c r="I351" s="10" t="str">
        <x:v>截图或录屏、脱敏请求响应、对象 ID、时间及相关日志</x:v>
      </x:c>
      <x:c r="J351" s="11" t="str">
        <x:v>未执行</x:v>
      </x:c>
      <x:c r="K351" s="11" t="str"/>
      <x:c r="L351" s="11" t="str"/>
      <x:c r="M351" s="11" t="str"/>
      <x:c r="N351" s="12"/>
      <x:c r="O351" s="11" t="str"/>
    </x:row>
    <x:row r="352" ht="52.79999923706055" hidden="0" customHeight="1">
      <x:c r="A352" s="10" t="str">
        <x:v>FMT-005</x:v>
      </x:c>
      <x:c r="B352" s="10" t="str">
        <x:v>04 文件与索引</x:v>
      </x:c>
      <x:c r="C352" s="10" t="str">
        <x:v>所有支持文件格式</x:v>
      </x:c>
      <x:c r="D352" s="10" t="str">
        <x:v>P1</x:v>
      </x:c>
      <x:c r="E352" s="10" t="str">
        <x:v>.doc 原生文件解析</x:v>
      </x:c>
      <x:c r="F352" s="10" t="str">
        <x:v>真实原生格式样本；绝不能靠重命名后缀制造样本；对应依赖已就绪</x:v>
      </x:c>
      <x:c r="G352" s="10" t="str">
        <x:v>准备真实 .doc 文件，写入/录入唯一标记、26 万/6 周等标准事实
分别知识库上传索引、检索与 Agent 附件提问
查看来源位置</x:v>
      </x:c>
      <x:c r="H352" s="10" t="str">
        <x:v>对应原生解析器或 LibreOffice 转换正常
提取标准事实与元数据
缺依赖明示警告/失败
不得把改后缀二进制当有效样例</x:v>
      </x:c>
      <x:c r="I352" s="10" t="str">
        <x:v>截图或录屏、脱敏请求响应、对象 ID、时间及相关日志</x:v>
      </x:c>
      <x:c r="J352" s="11" t="str">
        <x:v>未执行</x:v>
      </x:c>
      <x:c r="K352" s="11" t="str"/>
      <x:c r="L352" s="11" t="str"/>
      <x:c r="M352" s="11" t="str"/>
      <x:c r="N352" s="12"/>
      <x:c r="O352" s="11" t="str"/>
    </x:row>
    <x:row r="353" ht="52.79999923706055" hidden="0" customHeight="1">
      <x:c r="A353" s="10" t="str">
        <x:v>FMT-006</x:v>
      </x:c>
      <x:c r="B353" s="10" t="str">
        <x:v>04 文件与索引</x:v>
      </x:c>
      <x:c r="C353" s="10" t="str">
        <x:v>所有支持文件格式</x:v>
      </x:c>
      <x:c r="D353" s="10" t="str">
        <x:v>P1</x:v>
      </x:c>
      <x:c r="E353" s="10" t="str">
        <x:v>.docx 原生文件解析</x:v>
      </x:c>
      <x:c r="F353" s="10" t="str">
        <x:v>真实原生格式样本；绝不能靠重命名后缀制造样本；对应依赖已就绪</x:v>
      </x:c>
      <x:c r="G353" s="10" t="str">
        <x:v>准备真实 .docx 文件，写入/录入唯一标记、26 万/6 周等标准事实
分别知识库上传索引、检索与 Agent 附件提问
查看来源位置</x:v>
      </x:c>
      <x:c r="H353" s="10" t="str">
        <x:v>原生文本/结构解析正常
提取标准事实与元数据
缺依赖明示警告/失败
不得把改后缀二进制当有效样例</x:v>
      </x:c>
      <x:c r="I353" s="10" t="str">
        <x:v>截图或录屏、脱敏请求响应、对象 ID、时间及相关日志</x:v>
      </x:c>
      <x:c r="J353" s="11" t="str">
        <x:v>未执行</x:v>
      </x:c>
      <x:c r="K353" s="11" t="str"/>
      <x:c r="L353" s="11" t="str"/>
      <x:c r="M353" s="11" t="str"/>
      <x:c r="N353" s="12"/>
      <x:c r="O353" s="11" t="str"/>
    </x:row>
    <x:row r="354" ht="52.79999923706055" hidden="0" customHeight="1">
      <x:c r="A354" s="10" t="str">
        <x:v>FMT-007</x:v>
      </x:c>
      <x:c r="B354" s="10" t="str">
        <x:v>04 文件与索引</x:v>
      </x:c>
      <x:c r="C354" s="10" t="str">
        <x:v>所有支持文件格式</x:v>
      </x:c>
      <x:c r="D354" s="10" t="str">
        <x:v>P1</x:v>
      </x:c>
      <x:c r="E354" s="10" t="str">
        <x:v>.flac 原生文件解析</x:v>
      </x:c>
      <x:c r="F354" s="10" t="str">
        <x:v>真实原生格式样本；绝不能靠重命名后缀制造样本；对应依赖已就绪</x:v>
      </x:c>
      <x:c r="G354" s="10" t="str">
        <x:v>准备真实 .flac 文件，写入/录入唯一标记、26 万/6 周等标准事实
分别知识库上传索引、检索与 Agent 附件提问
查看来源位置</x:v>
      </x:c>
      <x:c r="H354" s="10" t="str">
        <x:v>真实音频编码、FFmpeg/解码、Whisper正常
提取标准事实与元数据
缺依赖明示警告/失败
不得把改后缀二进制当有效样例</x:v>
      </x:c>
      <x:c r="I354" s="10" t="str">
        <x:v>截图或录屏、脱敏请求响应、对象 ID、时间及相关日志</x:v>
      </x:c>
      <x:c r="J354" s="11" t="str">
        <x:v>未执行</x:v>
      </x:c>
      <x:c r="K354" s="11" t="str"/>
      <x:c r="L354" s="11" t="str"/>
      <x:c r="M354" s="11" t="str"/>
      <x:c r="N354" s="12"/>
      <x:c r="O354" s="11" t="str"/>
    </x:row>
    <x:row r="355" ht="52.79999923706055" hidden="0" customHeight="1">
      <x:c r="A355" s="10" t="str">
        <x:v>FMT-008</x:v>
      </x:c>
      <x:c r="B355" s="10" t="str">
        <x:v>04 文件与索引</x:v>
      </x:c>
      <x:c r="C355" s="10" t="str">
        <x:v>所有支持文件格式</x:v>
      </x:c>
      <x:c r="D355" s="10" t="str">
        <x:v>P1</x:v>
      </x:c>
      <x:c r="E355" s="10" t="str">
        <x:v>.gif 原生文件解析</x:v>
      </x:c>
      <x:c r="F355" s="10" t="str">
        <x:v>真实原生格式样本；绝不能靠重命名后缀制造样本；对应依赖已就绪</x:v>
      </x:c>
      <x:c r="G355" s="10" t="str">
        <x:v>准备真实 .gif 文件，写入/录入唯一标记、26 万/6 周等标准事实
分别知识库上传索引、检索与 Agent 附件提问
查看来源位置</x:v>
      </x:c>
      <x:c r="H355" s="10" t="str">
        <x:v>真实图像编码及 Tesseract OCR正常
提取标准事实与元数据
缺依赖明示警告/失败
不得把改后缀二进制当有效样例</x:v>
      </x:c>
      <x:c r="I355" s="10" t="str">
        <x:v>截图或录屏、脱敏请求响应、对象 ID、时间及相关日志</x:v>
      </x:c>
      <x:c r="J355" s="11" t="str">
        <x:v>未执行</x:v>
      </x:c>
      <x:c r="K355" s="11" t="str"/>
      <x:c r="L355" s="11" t="str"/>
      <x:c r="M355" s="11" t="str"/>
      <x:c r="N355" s="12"/>
      <x:c r="O355" s="11" t="str"/>
    </x:row>
    <x:row r="356" ht="52.79999923706055" hidden="0" customHeight="1">
      <x:c r="A356" s="10" t="str">
        <x:v>FMT-009</x:v>
      </x:c>
      <x:c r="B356" s="10" t="str">
        <x:v>04 文件与索引</x:v>
      </x:c>
      <x:c r="C356" s="10" t="str">
        <x:v>所有支持文件格式</x:v>
      </x:c>
      <x:c r="D356" s="10" t="str">
        <x:v>P1</x:v>
      </x:c>
      <x:c r="E356" s="10" t="str">
        <x:v>.htm 原生文件解析</x:v>
      </x:c>
      <x:c r="F356" s="10" t="str">
        <x:v>真实原生格式样本；绝不能靠重命名后缀制造样本；对应依赖已就绪</x:v>
      </x:c>
      <x:c r="G356" s="10" t="str">
        <x:v>准备真实 .htm 文件，写入/录入唯一标记、26 万/6 周等标准事实
分别知识库上传索引、检索与 Agent 附件提问
查看来源位置</x:v>
      </x:c>
      <x:c r="H356" s="10" t="str">
        <x:v>原生文本/结构解析正常
提取标准事实与元数据
缺依赖明示警告/失败
不得把改后缀二进制当有效样例</x:v>
      </x:c>
      <x:c r="I356" s="10" t="str">
        <x:v>截图或录屏、脱敏请求响应、对象 ID、时间及相关日志</x:v>
      </x:c>
      <x:c r="J356" s="11" t="str">
        <x:v>未执行</x:v>
      </x:c>
      <x:c r="K356" s="11" t="str"/>
      <x:c r="L356" s="11" t="str"/>
      <x:c r="M356" s="11" t="str"/>
      <x:c r="N356" s="12"/>
      <x:c r="O356" s="11" t="str"/>
    </x:row>
    <x:row r="357" ht="52.79999923706055" hidden="0" customHeight="1">
      <x:c r="A357" s="10" t="str">
        <x:v>FMT-010</x:v>
      </x:c>
      <x:c r="B357" s="10" t="str">
        <x:v>04 文件与索引</x:v>
      </x:c>
      <x:c r="C357" s="10" t="str">
        <x:v>所有支持文件格式</x:v>
      </x:c>
      <x:c r="D357" s="10" t="str">
        <x:v>P1</x:v>
      </x:c>
      <x:c r="E357" s="10" t="str">
        <x:v>.html 原生文件解析</x:v>
      </x:c>
      <x:c r="F357" s="10" t="str">
        <x:v>真实原生格式样本；绝不能靠重命名后缀制造样本；对应依赖已就绪</x:v>
      </x:c>
      <x:c r="G357" s="10" t="str">
        <x:v>准备真实 .html 文件，写入/录入唯一标记、26 万/6 周等标准事实
分别知识库上传索引、检索与 Agent 附件提问
查看来源位置</x:v>
      </x:c>
      <x:c r="H357" s="10" t="str">
        <x:v>原生文本/结构解析正常
提取标准事实与元数据
缺依赖明示警告/失败
不得把改后缀二进制当有效样例</x:v>
      </x:c>
      <x:c r="I357" s="10" t="str">
        <x:v>截图或录屏、脱敏请求响应、对象 ID、时间及相关日志</x:v>
      </x:c>
      <x:c r="J357" s="11" t="str">
        <x:v>未执行</x:v>
      </x:c>
      <x:c r="K357" s="11" t="str"/>
      <x:c r="L357" s="11" t="str"/>
      <x:c r="M357" s="11" t="str"/>
      <x:c r="N357" s="12"/>
      <x:c r="O357" s="11" t="str"/>
    </x:row>
    <x:row r="358" ht="52.79999923706055" hidden="0" customHeight="1">
      <x:c r="A358" s="10" t="str">
        <x:v>FMT-011</x:v>
      </x:c>
      <x:c r="B358" s="10" t="str">
        <x:v>04 文件与索引</x:v>
      </x:c>
      <x:c r="C358" s="10" t="str">
        <x:v>所有支持文件格式</x:v>
      </x:c>
      <x:c r="D358" s="10" t="str">
        <x:v>P1</x:v>
      </x:c>
      <x:c r="E358" s="10" t="str">
        <x:v>.jpeg 原生文件解析</x:v>
      </x:c>
      <x:c r="F358" s="10" t="str">
        <x:v>真实原生格式样本；绝不能靠重命名后缀制造样本；对应依赖已就绪</x:v>
      </x:c>
      <x:c r="G358" s="10" t="str">
        <x:v>准备真实 .jpeg 文件，写入/录入唯一标记、26 万/6 周等标准事实
分别知识库上传索引、检索与 Agent 附件提问
查看来源位置</x:v>
      </x:c>
      <x:c r="H358" s="10" t="str">
        <x:v>真实图像编码及 Tesseract OCR正常
提取标准事实与元数据
缺依赖明示警告/失败
不得把改后缀二进制当有效样例</x:v>
      </x:c>
      <x:c r="I358" s="10" t="str">
        <x:v>截图或录屏、脱敏请求响应、对象 ID、时间及相关日志</x:v>
      </x:c>
      <x:c r="J358" s="11" t="str">
        <x:v>未执行</x:v>
      </x:c>
      <x:c r="K358" s="11" t="str"/>
      <x:c r="L358" s="11" t="str"/>
      <x:c r="M358" s="11" t="str"/>
      <x:c r="N358" s="12"/>
      <x:c r="O358" s="11" t="str"/>
    </x:row>
    <x:row r="359" ht="52.79999923706055" hidden="0" customHeight="1">
      <x:c r="A359" s="10" t="str">
        <x:v>FMT-012</x:v>
      </x:c>
      <x:c r="B359" s="10" t="str">
        <x:v>04 文件与索引</x:v>
      </x:c>
      <x:c r="C359" s="10" t="str">
        <x:v>所有支持文件格式</x:v>
      </x:c>
      <x:c r="D359" s="10" t="str">
        <x:v>P1</x:v>
      </x:c>
      <x:c r="E359" s="10" t="str">
        <x:v>.jpg 原生文件解析</x:v>
      </x:c>
      <x:c r="F359" s="10" t="str">
        <x:v>真实原生格式样本；绝不能靠重命名后缀制造样本；对应依赖已就绪</x:v>
      </x:c>
      <x:c r="G359" s="10" t="str">
        <x:v>准备真实 .jpg 文件，写入/录入唯一标记、26 万/6 周等标准事实
分别知识库上传索引、检索与 Agent 附件提问
查看来源位置</x:v>
      </x:c>
      <x:c r="H359" s="10" t="str">
        <x:v>真实图像编码及 Tesseract OCR正常
提取标准事实与元数据
缺依赖明示警告/失败
不得把改后缀二进制当有效样例</x:v>
      </x:c>
      <x:c r="I359" s="10" t="str">
        <x:v>截图或录屏、脱敏请求响应、对象 ID、时间及相关日志</x:v>
      </x:c>
      <x:c r="J359" s="11" t="str">
        <x:v>未执行</x:v>
      </x:c>
      <x:c r="K359" s="11" t="str"/>
      <x:c r="L359" s="11" t="str"/>
      <x:c r="M359" s="11" t="str"/>
      <x:c r="N359" s="12"/>
      <x:c r="O359" s="11" t="str"/>
    </x:row>
    <x:row r="360" ht="52.79999923706055" hidden="0" customHeight="1">
      <x:c r="A360" s="10" t="str">
        <x:v>FMT-013</x:v>
      </x:c>
      <x:c r="B360" s="10" t="str">
        <x:v>04 文件与索引</x:v>
      </x:c>
      <x:c r="C360" s="10" t="str">
        <x:v>所有支持文件格式</x:v>
      </x:c>
      <x:c r="D360" s="10" t="str">
        <x:v>P1</x:v>
      </x:c>
      <x:c r="E360" s="10" t="str">
        <x:v>.json 原生文件解析</x:v>
      </x:c>
      <x:c r="F360" s="10" t="str">
        <x:v>真实原生格式样本；绝不能靠重命名后缀制造样本；对应依赖已就绪</x:v>
      </x:c>
      <x:c r="G360" s="10" t="str">
        <x:v>准备真实 .json 文件，写入/录入唯一标记、26 万/6 周等标准事实
分别知识库上传索引、检索与 Agent 附件提问
查看来源位置</x:v>
      </x:c>
      <x:c r="H360" s="10" t="str">
        <x:v>原生文本/结构解析正常
提取标准事实与元数据
缺依赖明示警告/失败
不得把改后缀二进制当有效样例</x:v>
      </x:c>
      <x:c r="I360" s="10" t="str">
        <x:v>截图或录屏、脱敏请求响应、对象 ID、时间及相关日志</x:v>
      </x:c>
      <x:c r="J360" s="11" t="str">
        <x:v>未执行</x:v>
      </x:c>
      <x:c r="K360" s="11" t="str"/>
      <x:c r="L360" s="11" t="str"/>
      <x:c r="M360" s="11" t="str"/>
      <x:c r="N360" s="12"/>
      <x:c r="O360" s="11" t="str"/>
    </x:row>
    <x:row r="361" ht="52.79999923706055" hidden="0" customHeight="1">
      <x:c r="A361" s="10" t="str">
        <x:v>FMT-014</x:v>
      </x:c>
      <x:c r="B361" s="10" t="str">
        <x:v>04 文件与索引</x:v>
      </x:c>
      <x:c r="C361" s="10" t="str">
        <x:v>所有支持文件格式</x:v>
      </x:c>
      <x:c r="D361" s="10" t="str">
        <x:v>P1</x:v>
      </x:c>
      <x:c r="E361" s="10" t="str">
        <x:v>.m4a 原生文件解析</x:v>
      </x:c>
      <x:c r="F361" s="10" t="str">
        <x:v>真实原生格式样本；绝不能靠重命名后缀制造样本；对应依赖已就绪</x:v>
      </x:c>
      <x:c r="G361" s="10" t="str">
        <x:v>准备真实 .m4a 文件，写入/录入唯一标记、26 万/6 周等标准事实
分别知识库上传索引、检索与 Agent 附件提问
查看来源位置</x:v>
      </x:c>
      <x:c r="H361" s="10" t="str">
        <x:v>真实音频编码、FFmpeg/解码、Whisper正常
提取标准事实与元数据
缺依赖明示警告/失败
不得把改后缀二进制当有效样例</x:v>
      </x:c>
      <x:c r="I361" s="10" t="str">
        <x:v>截图或录屏、脱敏请求响应、对象 ID、时间及相关日志</x:v>
      </x:c>
      <x:c r="J361" s="11" t="str">
        <x:v>未执行</x:v>
      </x:c>
      <x:c r="K361" s="11" t="str"/>
      <x:c r="L361" s="11" t="str"/>
      <x:c r="M361" s="11" t="str"/>
      <x:c r="N361" s="12"/>
      <x:c r="O361" s="11" t="str"/>
    </x:row>
    <x:row r="362" ht="52.79999923706055" hidden="0" customHeight="1">
      <x:c r="A362" s="10" t="str">
        <x:v>FMT-015</x:v>
      </x:c>
      <x:c r="B362" s="10" t="str">
        <x:v>04 文件与索引</x:v>
      </x:c>
      <x:c r="C362" s="10" t="str">
        <x:v>所有支持文件格式</x:v>
      </x:c>
      <x:c r="D362" s="10" t="str">
        <x:v>P1</x:v>
      </x:c>
      <x:c r="E362" s="10" t="str">
        <x:v>.m4v 原生文件解析</x:v>
      </x:c>
      <x:c r="F362" s="10" t="str">
        <x:v>真实原生格式样本；绝不能靠重命名后缀制造样本；对应依赖已就绪</x:v>
      </x:c>
      <x:c r="G362" s="10" t="str">
        <x:v>准备真实 .m4v 文件，写入/录入唯一标记、26 万/6 周等标准事实
分别知识库上传索引、检索与 Agent 附件提问
查看来源位置</x:v>
      </x:c>
      <x:c r="H362" s="10" t="str">
        <x:v>真实视频编码、FFmpeg/Whisper、抽帧 OCR正常
提取标准事实与元数据
缺依赖明示警告/失败
不得把改后缀二进制当有效样例</x:v>
      </x:c>
      <x:c r="I362" s="10" t="str">
        <x:v>截图或录屏、脱敏请求响应、对象 ID、时间及相关日志</x:v>
      </x:c>
      <x:c r="J362" s="11" t="str">
        <x:v>未执行</x:v>
      </x:c>
      <x:c r="K362" s="11" t="str"/>
      <x:c r="L362" s="11" t="str"/>
      <x:c r="M362" s="11" t="str"/>
      <x:c r="N362" s="12"/>
      <x:c r="O362" s="11" t="str"/>
    </x:row>
    <x:row r="363" ht="52.79999923706055" hidden="0" customHeight="1">
      <x:c r="A363" s="10" t="str">
        <x:v>FMT-016</x:v>
      </x:c>
      <x:c r="B363" s="10" t="str">
        <x:v>04 文件与索引</x:v>
      </x:c>
      <x:c r="C363" s="10" t="str">
        <x:v>所有支持文件格式</x:v>
      </x:c>
      <x:c r="D363" s="10" t="str">
        <x:v>P1</x:v>
      </x:c>
      <x:c r="E363" s="10" t="str">
        <x:v>.markdown 原生文件解析</x:v>
      </x:c>
      <x:c r="F363" s="10" t="str">
        <x:v>真实原生格式样本；绝不能靠重命名后缀制造样本；对应依赖已就绪</x:v>
      </x:c>
      <x:c r="G363" s="10" t="str">
        <x:v>准备真实 .markdown 文件，写入/录入唯一标记、26 万/6 周等标准事实
分别知识库上传索引、检索与 Agent 附件提问
查看来源位置</x:v>
      </x:c>
      <x:c r="H363" s="10" t="str">
        <x:v>原生文本/结构解析正常
提取标准事实与元数据
缺依赖明示警告/失败
不得把改后缀二进制当有效样例</x:v>
      </x:c>
      <x:c r="I363" s="10" t="str">
        <x:v>截图或录屏、脱敏请求响应、对象 ID、时间及相关日志</x:v>
      </x:c>
      <x:c r="J363" s="11" t="str">
        <x:v>未执行</x:v>
      </x:c>
      <x:c r="K363" s="11" t="str"/>
      <x:c r="L363" s="11" t="str"/>
      <x:c r="M363" s="11" t="str"/>
      <x:c r="N363" s="12"/>
      <x:c r="O363" s="11" t="str"/>
    </x:row>
    <x:row r="364" ht="52.79999923706055" hidden="0" customHeight="1">
      <x:c r="A364" s="10" t="str">
        <x:v>FMT-017</x:v>
      </x:c>
      <x:c r="B364" s="10" t="str">
        <x:v>04 文件与索引</x:v>
      </x:c>
      <x:c r="C364" s="10" t="str">
        <x:v>所有支持文件格式</x:v>
      </x:c>
      <x:c r="D364" s="10" t="str">
        <x:v>P1</x:v>
      </x:c>
      <x:c r="E364" s="10" t="str">
        <x:v>.md 原生文件解析</x:v>
      </x:c>
      <x:c r="F364" s="10" t="str">
        <x:v>真实原生格式样本；绝不能靠重命名后缀制造样本；对应依赖已就绪</x:v>
      </x:c>
      <x:c r="G364" s="10" t="str">
        <x:v>准备真实 .md 文件，写入/录入唯一标记、26 万/6 周等标准事实
分别知识库上传索引、检索与 Agent 附件提问
查看来源位置</x:v>
      </x:c>
      <x:c r="H364" s="10" t="str">
        <x:v>原生文本/结构解析正常
提取标准事实与元数据
缺依赖明示警告/失败
不得把改后缀二进制当有效样例</x:v>
      </x:c>
      <x:c r="I364" s="10" t="str">
        <x:v>截图或录屏、脱敏请求响应、对象 ID、时间及相关日志</x:v>
      </x:c>
      <x:c r="J364" s="11" t="str">
        <x:v>未执行</x:v>
      </x:c>
      <x:c r="K364" s="11" t="str"/>
      <x:c r="L364" s="11" t="str"/>
      <x:c r="M364" s="11" t="str"/>
      <x:c r="N364" s="12"/>
      <x:c r="O364" s="11" t="str"/>
    </x:row>
    <x:row r="365" ht="52.79999923706055" hidden="0" customHeight="1">
      <x:c r="A365" s="10" t="str">
        <x:v>FMT-018</x:v>
      </x:c>
      <x:c r="B365" s="10" t="str">
        <x:v>04 文件与索引</x:v>
      </x:c>
      <x:c r="C365" s="10" t="str">
        <x:v>所有支持文件格式</x:v>
      </x:c>
      <x:c r="D365" s="10" t="str">
        <x:v>P1</x:v>
      </x:c>
      <x:c r="E365" s="10" t="str">
        <x:v>.mkv 原生文件解析</x:v>
      </x:c>
      <x:c r="F365" s="10" t="str">
        <x:v>真实原生格式样本；绝不能靠重命名后缀制造样本；对应依赖已就绪</x:v>
      </x:c>
      <x:c r="G365" s="10" t="str">
        <x:v>准备真实 .mkv 文件，写入/录入唯一标记、26 万/6 周等标准事实
分别知识库上传索引、检索与 Agent 附件提问
查看来源位置</x:v>
      </x:c>
      <x:c r="H365" s="10" t="str">
        <x:v>真实视频编码、FFmpeg/Whisper、抽帧 OCR正常
提取标准事实与元数据
缺依赖明示警告/失败
不得把改后缀二进制当有效样例</x:v>
      </x:c>
      <x:c r="I365" s="10" t="str">
        <x:v>截图或录屏、脱敏请求响应、对象 ID、时间及相关日志</x:v>
      </x:c>
      <x:c r="J365" s="11" t="str">
        <x:v>未执行</x:v>
      </x:c>
      <x:c r="K365" s="11" t="str"/>
      <x:c r="L365" s="11" t="str"/>
      <x:c r="M365" s="11" t="str"/>
      <x:c r="N365" s="12"/>
      <x:c r="O365" s="11" t="str"/>
    </x:row>
    <x:row r="366" ht="52.79999923706055" hidden="0" customHeight="1">
      <x:c r="A366" s="10" t="str">
        <x:v>FMT-019</x:v>
      </x:c>
      <x:c r="B366" s="10" t="str">
        <x:v>04 文件与索引</x:v>
      </x:c>
      <x:c r="C366" s="10" t="str">
        <x:v>所有支持文件格式</x:v>
      </x:c>
      <x:c r="D366" s="10" t="str">
        <x:v>P1</x:v>
      </x:c>
      <x:c r="E366" s="10" t="str">
        <x:v>.mov 原生文件解析</x:v>
      </x:c>
      <x:c r="F366" s="10" t="str">
        <x:v>真实原生格式样本；绝不能靠重命名后缀制造样本；对应依赖已就绪</x:v>
      </x:c>
      <x:c r="G366" s="10" t="str">
        <x:v>准备真实 .mov 文件，写入/录入唯一标记、26 万/6 周等标准事实
分别知识库上传索引、检索与 Agent 附件提问
查看来源位置</x:v>
      </x:c>
      <x:c r="H366" s="10" t="str">
        <x:v>真实视频编码、FFmpeg/Whisper、抽帧 OCR正常
提取标准事实与元数据
缺依赖明示警告/失败
不得把改后缀二进制当有效样例</x:v>
      </x:c>
      <x:c r="I366" s="10" t="str">
        <x:v>截图或录屏、脱敏请求响应、对象 ID、时间及相关日志</x:v>
      </x:c>
      <x:c r="J366" s="11" t="str">
        <x:v>未执行</x:v>
      </x:c>
      <x:c r="K366" s="11" t="str"/>
      <x:c r="L366" s="11" t="str"/>
      <x:c r="M366" s="11" t="str"/>
      <x:c r="N366" s="12"/>
      <x:c r="O366" s="11" t="str"/>
    </x:row>
    <x:row r="367" ht="52.79999923706055" hidden="0" customHeight="1">
      <x:c r="A367" s="10" t="str">
        <x:v>FMT-020</x:v>
      </x:c>
      <x:c r="B367" s="10" t="str">
        <x:v>04 文件与索引</x:v>
      </x:c>
      <x:c r="C367" s="10" t="str">
        <x:v>所有支持文件格式</x:v>
      </x:c>
      <x:c r="D367" s="10" t="str">
        <x:v>P1</x:v>
      </x:c>
      <x:c r="E367" s="10" t="str">
        <x:v>.mp3 原生文件解析</x:v>
      </x:c>
      <x:c r="F367" s="10" t="str">
        <x:v>真实原生格式样本；绝不能靠重命名后缀制造样本；对应依赖已就绪</x:v>
      </x:c>
      <x:c r="G367" s="10" t="str">
        <x:v>准备真实 .mp3 文件，写入/录入唯一标记、26 万/6 周等标准事实
分别知识库上传索引、检索与 Agent 附件提问
查看来源位置</x:v>
      </x:c>
      <x:c r="H367" s="10" t="str">
        <x:v>真实音频编码、FFmpeg/解码、Whisper正常
提取标准事实与元数据
缺依赖明示警告/失败
不得把改后缀二进制当有效样例</x:v>
      </x:c>
      <x:c r="I367" s="10" t="str">
        <x:v>截图或录屏、脱敏请求响应、对象 ID、时间及相关日志</x:v>
      </x:c>
      <x:c r="J367" s="11" t="str">
        <x:v>未执行</x:v>
      </x:c>
      <x:c r="K367" s="11" t="str"/>
      <x:c r="L367" s="11" t="str"/>
      <x:c r="M367" s="11" t="str"/>
      <x:c r="N367" s="12"/>
      <x:c r="O367" s="11" t="str"/>
    </x:row>
    <x:row r="368" ht="52.79999923706055" hidden="0" customHeight="1">
      <x:c r="A368" s="10" t="str">
        <x:v>FMT-021</x:v>
      </x:c>
      <x:c r="B368" s="10" t="str">
        <x:v>04 文件与索引</x:v>
      </x:c>
      <x:c r="C368" s="10" t="str">
        <x:v>所有支持文件格式</x:v>
      </x:c>
      <x:c r="D368" s="10" t="str">
        <x:v>P1</x:v>
      </x:c>
      <x:c r="E368" s="10" t="str">
        <x:v>.mp4 原生文件解析</x:v>
      </x:c>
      <x:c r="F368" s="10" t="str">
        <x:v>真实原生格式样本；绝不能靠重命名后缀制造样本；对应依赖已就绪</x:v>
      </x:c>
      <x:c r="G368" s="10" t="str">
        <x:v>准备真实 .mp4 文件，写入/录入唯一标记、26 万/6 周等标准事实
分别知识库上传索引、检索与 Agent 附件提问
查看来源位置</x:v>
      </x:c>
      <x:c r="H368" s="10" t="str">
        <x:v>真实视频编码、FFmpeg/Whisper、抽帧 OCR正常
提取标准事实与元数据
缺依赖明示警告/失败
不得把改后缀二进制当有效样例</x:v>
      </x:c>
      <x:c r="I368" s="10" t="str">
        <x:v>截图或录屏、脱敏请求响应、对象 ID、时间及相关日志</x:v>
      </x:c>
      <x:c r="J368" s="11" t="str">
        <x:v>未执行</x:v>
      </x:c>
      <x:c r="K368" s="11" t="str"/>
      <x:c r="L368" s="11" t="str"/>
      <x:c r="M368" s="11" t="str"/>
      <x:c r="N368" s="12"/>
      <x:c r="O368" s="11" t="str"/>
    </x:row>
    <x:row r="369" ht="52.79999923706055" hidden="0" customHeight="1">
      <x:c r="A369" s="10" t="str">
        <x:v>FMT-022</x:v>
      </x:c>
      <x:c r="B369" s="10" t="str">
        <x:v>04 文件与索引</x:v>
      </x:c>
      <x:c r="C369" s="10" t="str">
        <x:v>所有支持文件格式</x:v>
      </x:c>
      <x:c r="D369" s="10" t="str">
        <x:v>P1</x:v>
      </x:c>
      <x:c r="E369" s="10" t="str">
        <x:v>.odp 原生文件解析</x:v>
      </x:c>
      <x:c r="F369" s="10" t="str">
        <x:v>真实原生格式样本；绝不能靠重命名后缀制造样本；对应依赖已就绪</x:v>
      </x:c>
      <x:c r="G369" s="10" t="str">
        <x:v>准备真实 .odp 文件，写入/录入唯一标记、26 万/6 周等标准事实
分别知识库上传索引、检索与 Agent 附件提问
查看来源位置</x:v>
      </x:c>
      <x:c r="H369" s="10" t="str">
        <x:v>对应原生解析器或 LibreOffice 转换正常
提取标准事实与元数据
缺依赖明示警告/失败
不得把改后缀二进制当有效样例</x:v>
      </x:c>
      <x:c r="I369" s="10" t="str">
        <x:v>截图或录屏、脱敏请求响应、对象 ID、时间及相关日志</x:v>
      </x:c>
      <x:c r="J369" s="11" t="str">
        <x:v>未执行</x:v>
      </x:c>
      <x:c r="K369" s="11" t="str"/>
      <x:c r="L369" s="11" t="str"/>
      <x:c r="M369" s="11" t="str"/>
      <x:c r="N369" s="12"/>
      <x:c r="O369" s="11" t="str"/>
    </x:row>
    <x:row r="370" ht="52.79999923706055" hidden="0" customHeight="1">
      <x:c r="A370" s="10" t="str">
        <x:v>FMT-023</x:v>
      </x:c>
      <x:c r="B370" s="10" t="str">
        <x:v>04 文件与索引</x:v>
      </x:c>
      <x:c r="C370" s="10" t="str">
        <x:v>所有支持文件格式</x:v>
      </x:c>
      <x:c r="D370" s="10" t="str">
        <x:v>P1</x:v>
      </x:c>
      <x:c r="E370" s="10" t="str">
        <x:v>.ods 原生文件解析</x:v>
      </x:c>
      <x:c r="F370" s="10" t="str">
        <x:v>真实原生格式样本；绝不能靠重命名后缀制造样本；对应依赖已就绪</x:v>
      </x:c>
      <x:c r="G370" s="10" t="str">
        <x:v>准备真实 .ods 文件，写入/录入唯一标记、26 万/6 周等标准事实
分别知识库上传索引、检索与 Agent 附件提问
查看来源位置</x:v>
      </x:c>
      <x:c r="H370" s="10" t="str">
        <x:v>对应原生解析器或 LibreOffice 转换正常
提取标准事实与元数据
缺依赖明示警告/失败
不得把改后缀二进制当有效样例</x:v>
      </x:c>
      <x:c r="I370" s="10" t="str">
        <x:v>截图或录屏、脱敏请求响应、对象 ID、时间及相关日志</x:v>
      </x:c>
      <x:c r="J370" s="11" t="str">
        <x:v>未执行</x:v>
      </x:c>
      <x:c r="K370" s="11" t="str"/>
      <x:c r="L370" s="11" t="str"/>
      <x:c r="M370" s="11" t="str"/>
      <x:c r="N370" s="12"/>
      <x:c r="O370" s="11" t="str"/>
    </x:row>
    <x:row r="371" ht="52.79999923706055" hidden="0" customHeight="1">
      <x:c r="A371" s="10" t="str">
        <x:v>FMT-024</x:v>
      </x:c>
      <x:c r="B371" s="10" t="str">
        <x:v>04 文件与索引</x:v>
      </x:c>
      <x:c r="C371" s="10" t="str">
        <x:v>所有支持文件格式</x:v>
      </x:c>
      <x:c r="D371" s="10" t="str">
        <x:v>P1</x:v>
      </x:c>
      <x:c r="E371" s="10" t="str">
        <x:v>.odt 原生文件解析</x:v>
      </x:c>
      <x:c r="F371" s="10" t="str">
        <x:v>真实原生格式样本；绝不能靠重命名后缀制造样本；对应依赖已就绪</x:v>
      </x:c>
      <x:c r="G371" s="10" t="str">
        <x:v>准备真实 .odt 文件，写入/录入唯一标记、26 万/6 周等标准事实
分别知识库上传索引、检索与 Agent 附件提问
查看来源位置</x:v>
      </x:c>
      <x:c r="H371" s="10" t="str">
        <x:v>对应原生解析器或 LibreOffice 转换正常
提取标准事实与元数据
缺依赖明示警告/失败
不得把改后缀二进制当有效样例</x:v>
      </x:c>
      <x:c r="I371" s="10" t="str">
        <x:v>截图或录屏、脱敏请求响应、对象 ID、时间及相关日志</x:v>
      </x:c>
      <x:c r="J371" s="11" t="str">
        <x:v>未执行</x:v>
      </x:c>
      <x:c r="K371" s="11" t="str"/>
      <x:c r="L371" s="11" t="str"/>
      <x:c r="M371" s="11" t="str"/>
      <x:c r="N371" s="12"/>
      <x:c r="O371" s="11" t="str"/>
    </x:row>
    <x:row r="372" ht="52.79999923706055" hidden="0" customHeight="1">
      <x:c r="A372" s="10" t="str">
        <x:v>FMT-025</x:v>
      </x:c>
      <x:c r="B372" s="10" t="str">
        <x:v>04 文件与索引</x:v>
      </x:c>
      <x:c r="C372" s="10" t="str">
        <x:v>所有支持文件格式</x:v>
      </x:c>
      <x:c r="D372" s="10" t="str">
        <x:v>P1</x:v>
      </x:c>
      <x:c r="E372" s="10" t="str">
        <x:v>.ogg 原生文件解析</x:v>
      </x:c>
      <x:c r="F372" s="10" t="str">
        <x:v>真实原生格式样本；绝不能靠重命名后缀制造样本；对应依赖已就绪</x:v>
      </x:c>
      <x:c r="G372" s="10" t="str">
        <x:v>准备真实 .ogg 文件，写入/录入唯一标记、26 万/6 周等标准事实
分别知识库上传索引、检索与 Agent 附件提问
查看来源位置</x:v>
      </x:c>
      <x:c r="H372" s="10" t="str">
        <x:v>真实音频编码、FFmpeg/解码、Whisper正常
提取标准事实与元数据
缺依赖明示警告/失败
不得把改后缀二进制当有效样例</x:v>
      </x:c>
      <x:c r="I372" s="10" t="str">
        <x:v>截图或录屏、脱敏请求响应、对象 ID、时间及相关日志</x:v>
      </x:c>
      <x:c r="J372" s="11" t="str">
        <x:v>未执行</x:v>
      </x:c>
      <x:c r="K372" s="11" t="str"/>
      <x:c r="L372" s="11" t="str"/>
      <x:c r="M372" s="11" t="str"/>
      <x:c r="N372" s="12"/>
      <x:c r="O372" s="11" t="str"/>
    </x:row>
    <x:row r="373" ht="52.79999923706055" hidden="0" customHeight="1">
      <x:c r="A373" s="10" t="str">
        <x:v>FMT-026</x:v>
      </x:c>
      <x:c r="B373" s="10" t="str">
        <x:v>04 文件与索引</x:v>
      </x:c>
      <x:c r="C373" s="10" t="str">
        <x:v>所有支持文件格式</x:v>
      </x:c>
      <x:c r="D373" s="10" t="str">
        <x:v>P1</x:v>
      </x:c>
      <x:c r="E373" s="10" t="str">
        <x:v>.opus 原生文件解析</x:v>
      </x:c>
      <x:c r="F373" s="10" t="str">
        <x:v>真实原生格式样本；绝不能靠重命名后缀制造样本；对应依赖已就绪</x:v>
      </x:c>
      <x:c r="G373" s="10" t="str">
        <x:v>准备真实 .opus 文件，写入/录入唯一标记、26 万/6 周等标准事实
分别知识库上传索引、检索与 Agent 附件提问
查看来源位置</x:v>
      </x:c>
      <x:c r="H373" s="10" t="str">
        <x:v>真实音频编码、FFmpeg/解码、Whisper正常
提取标准事实与元数据
缺依赖明示警告/失败
不得把改后缀二进制当有效样例</x:v>
      </x:c>
      <x:c r="I373" s="10" t="str">
        <x:v>截图或录屏、脱敏请求响应、对象 ID、时间及相关日志</x:v>
      </x:c>
      <x:c r="J373" s="11" t="str">
        <x:v>未执行</x:v>
      </x:c>
      <x:c r="K373" s="11" t="str"/>
      <x:c r="L373" s="11" t="str"/>
      <x:c r="M373" s="11" t="str"/>
      <x:c r="N373" s="12"/>
      <x:c r="O373" s="11" t="str"/>
    </x:row>
    <x:row r="374" ht="66" hidden="0" customHeight="1">
      <x:c r="A374" s="10" t="str">
        <x:v>FMT-027</x:v>
      </x:c>
      <x:c r="B374" s="10" t="str">
        <x:v>04 文件与索引</x:v>
      </x:c>
      <x:c r="C374" s="10" t="str">
        <x:v>所有支持文件格式</x:v>
      </x:c>
      <x:c r="D374" s="10" t="str">
        <x:v>P1</x:v>
      </x:c>
      <x:c r="E374" s="10" t="str">
        <x:v>.pdf 原生文件解析</x:v>
      </x:c>
      <x:c r="F374" s="10" t="str">
        <x:v>真实原生格式样本；绝不能靠重命名后缀制造样本；对应依赖已就绪</x:v>
      </x:c>
      <x:c r="G374" s="10" t="str">
        <x:v>准备真实 .pdf 文件，写入/录入唯一标记、26 万/6 周等标准事实
分别知识库上传索引、检索与 Agent 附件提问
查看来源位置</x:v>
      </x:c>
      <x:c r="H374" s="10" t="str">
        <x:v>文本 PDF 提取
扫描页另做 OCR 用例正常
提取标准事实与元数据
缺依赖明示警告/失败
不得把改后缀二进制当有效样例</x:v>
      </x:c>
      <x:c r="I374" s="10" t="str">
        <x:v>截图或录屏、脱敏请求响应、对象 ID、时间及相关日志</x:v>
      </x:c>
      <x:c r="J374" s="11" t="str">
        <x:v>未执行</x:v>
      </x:c>
      <x:c r="K374" s="11" t="str"/>
      <x:c r="L374" s="11" t="str"/>
      <x:c r="M374" s="11" t="str"/>
      <x:c r="N374" s="12"/>
      <x:c r="O374" s="11" t="str"/>
    </x:row>
    <x:row r="375" ht="52.79999923706055" hidden="0" customHeight="1">
      <x:c r="A375" s="10" t="str">
        <x:v>FMT-028</x:v>
      </x:c>
      <x:c r="B375" s="10" t="str">
        <x:v>04 文件与索引</x:v>
      </x:c>
      <x:c r="C375" s="10" t="str">
        <x:v>所有支持文件格式</x:v>
      </x:c>
      <x:c r="D375" s="10" t="str">
        <x:v>P1</x:v>
      </x:c>
      <x:c r="E375" s="10" t="str">
        <x:v>.png 原生文件解析</x:v>
      </x:c>
      <x:c r="F375" s="10" t="str">
        <x:v>真实原生格式样本；绝不能靠重命名后缀制造样本；对应依赖已就绪</x:v>
      </x:c>
      <x:c r="G375" s="10" t="str">
        <x:v>准备真实 .png 文件，写入/录入唯一标记、26 万/6 周等标准事实
分别知识库上传索引、检索与 Agent 附件提问
查看来源位置</x:v>
      </x:c>
      <x:c r="H375" s="10" t="str">
        <x:v>真实图像编码及 Tesseract OCR正常
提取标准事实与元数据
缺依赖明示警告/失败
不得把改后缀二进制当有效样例</x:v>
      </x:c>
      <x:c r="I375" s="10" t="str">
        <x:v>截图或录屏、脱敏请求响应、对象 ID、时间及相关日志</x:v>
      </x:c>
      <x:c r="J375" s="11" t="str">
        <x:v>未执行</x:v>
      </x:c>
      <x:c r="K375" s="11" t="str"/>
      <x:c r="L375" s="11" t="str"/>
      <x:c r="M375" s="11" t="str"/>
      <x:c r="N375" s="12"/>
      <x:c r="O375" s="11" t="str"/>
    </x:row>
    <x:row r="376" ht="52.79999923706055" hidden="0" customHeight="1">
      <x:c r="A376" s="10" t="str">
        <x:v>FMT-029</x:v>
      </x:c>
      <x:c r="B376" s="10" t="str">
        <x:v>04 文件与索引</x:v>
      </x:c>
      <x:c r="C376" s="10" t="str">
        <x:v>所有支持文件格式</x:v>
      </x:c>
      <x:c r="D376" s="10" t="str">
        <x:v>P1</x:v>
      </x:c>
      <x:c r="E376" s="10" t="str">
        <x:v>.ppt 原生文件解析</x:v>
      </x:c>
      <x:c r="F376" s="10" t="str">
        <x:v>真实原生格式样本；绝不能靠重命名后缀制造样本；对应依赖已就绪</x:v>
      </x:c>
      <x:c r="G376" s="10" t="str">
        <x:v>准备真实 .ppt 文件，写入/录入唯一标记、26 万/6 周等标准事实
分别知识库上传索引、检索与 Agent 附件提问
查看来源位置</x:v>
      </x:c>
      <x:c r="H376" s="10" t="str">
        <x:v>对应原生解析器或 LibreOffice 转换正常
提取标准事实与元数据
缺依赖明示警告/失败
不得把改后缀二进制当有效样例</x:v>
      </x:c>
      <x:c r="I376" s="10" t="str">
        <x:v>截图或录屏、脱敏请求响应、对象 ID、时间及相关日志</x:v>
      </x:c>
      <x:c r="J376" s="11" t="str">
        <x:v>未执行</x:v>
      </x:c>
      <x:c r="K376" s="11" t="str"/>
      <x:c r="L376" s="11" t="str"/>
      <x:c r="M376" s="11" t="str"/>
      <x:c r="N376" s="12"/>
      <x:c r="O376" s="11" t="str"/>
    </x:row>
    <x:row r="377" ht="52.79999923706055" hidden="0" customHeight="1">
      <x:c r="A377" s="10" t="str">
        <x:v>FMT-030</x:v>
      </x:c>
      <x:c r="B377" s="10" t="str">
        <x:v>04 文件与索引</x:v>
      </x:c>
      <x:c r="C377" s="10" t="str">
        <x:v>所有支持文件格式</x:v>
      </x:c>
      <x:c r="D377" s="10" t="str">
        <x:v>P1</x:v>
      </x:c>
      <x:c r="E377" s="10" t="str">
        <x:v>.pptx 原生文件解析</x:v>
      </x:c>
      <x:c r="F377" s="10" t="str">
        <x:v>真实原生格式样本；绝不能靠重命名后缀制造样本；对应依赖已就绪</x:v>
      </x:c>
      <x:c r="G377" s="10" t="str">
        <x:v>准备真实 .pptx 文件，写入/录入唯一标记、26 万/6 周等标准事实
分别知识库上传索引、检索与 Agent 附件提问
查看来源位置</x:v>
      </x:c>
      <x:c r="H377" s="10" t="str">
        <x:v>原生文本/结构解析正常
提取标准事实与元数据
缺依赖明示警告/失败
不得把改后缀二进制当有效样例</x:v>
      </x:c>
      <x:c r="I377" s="10" t="str">
        <x:v>截图或录屏、脱敏请求响应、对象 ID、时间及相关日志</x:v>
      </x:c>
      <x:c r="J377" s="11" t="str">
        <x:v>未执行</x:v>
      </x:c>
      <x:c r="K377" s="11" t="str"/>
      <x:c r="L377" s="11" t="str"/>
      <x:c r="M377" s="11" t="str"/>
      <x:c r="N377" s="12"/>
      <x:c r="O377" s="11" t="str"/>
    </x:row>
    <x:row r="378" ht="52.79999923706055" hidden="0" customHeight="1">
      <x:c r="A378" s="10" t="str">
        <x:v>FMT-031</x:v>
      </x:c>
      <x:c r="B378" s="10" t="str">
        <x:v>04 文件与索引</x:v>
      </x:c>
      <x:c r="C378" s="10" t="str">
        <x:v>所有支持文件格式</x:v>
      </x:c>
      <x:c r="D378" s="10" t="str">
        <x:v>P1</x:v>
      </x:c>
      <x:c r="E378" s="10" t="str">
        <x:v>.rtf 原生文件解析</x:v>
      </x:c>
      <x:c r="F378" s="10" t="str">
        <x:v>真实原生格式样本；绝不能靠重命名后缀制造样本；对应依赖已就绪</x:v>
      </x:c>
      <x:c r="G378" s="10" t="str">
        <x:v>准备真实 .rtf 文件，写入/录入唯一标记、26 万/6 周等标准事实
分别知识库上传索引、检索与 Agent 附件提问
查看来源位置</x:v>
      </x:c>
      <x:c r="H378" s="10" t="str">
        <x:v>对应原生解析器或 LibreOffice 转换正常
提取标准事实与元数据
缺依赖明示警告/失败
不得把改后缀二进制当有效样例</x:v>
      </x:c>
      <x:c r="I378" s="10" t="str">
        <x:v>截图或录屏、脱敏请求响应、对象 ID、时间及相关日志</x:v>
      </x:c>
      <x:c r="J378" s="11" t="str">
        <x:v>未执行</x:v>
      </x:c>
      <x:c r="K378" s="11" t="str"/>
      <x:c r="L378" s="11" t="str"/>
      <x:c r="M378" s="11" t="str"/>
      <x:c r="N378" s="12"/>
      <x:c r="O378" s="11" t="str"/>
    </x:row>
    <x:row r="379" ht="52.79999923706055" hidden="0" customHeight="1">
      <x:c r="A379" s="10" t="str">
        <x:v>FMT-032</x:v>
      </x:c>
      <x:c r="B379" s="10" t="str">
        <x:v>04 文件与索引</x:v>
      </x:c>
      <x:c r="C379" s="10" t="str">
        <x:v>所有支持文件格式</x:v>
      </x:c>
      <x:c r="D379" s="10" t="str">
        <x:v>P1</x:v>
      </x:c>
      <x:c r="E379" s="10" t="str">
        <x:v>.svg 原生文件解析</x:v>
      </x:c>
      <x:c r="F379" s="10" t="str">
        <x:v>真实原生格式样本；绝不能靠重命名后缀制造样本；对应依赖已就绪</x:v>
      </x:c>
      <x:c r="G379" s="10" t="str">
        <x:v>准备真实 .svg 文件，写入/录入唯一标记、26 万/6 周等标准事实
分别知识库上传索引、检索与 Agent 附件提问
查看来源位置</x:v>
      </x:c>
      <x:c r="H379" s="10" t="str">
        <x:v>SVG 文本节点提取正常
提取标准事实与元数据
缺依赖明示警告/失败
不得把改后缀二进制当有效样例</x:v>
      </x:c>
      <x:c r="I379" s="10" t="str">
        <x:v>截图或录屏、脱敏请求响应、对象 ID、时间及相关日志</x:v>
      </x:c>
      <x:c r="J379" s="11" t="str">
        <x:v>未执行</x:v>
      </x:c>
      <x:c r="K379" s="11" t="str"/>
      <x:c r="L379" s="11" t="str"/>
      <x:c r="M379" s="11" t="str"/>
      <x:c r="N379" s="12"/>
      <x:c r="O379" s="11" t="str"/>
    </x:row>
    <x:row r="380" ht="52.79999923706055" hidden="0" customHeight="1">
      <x:c r="A380" s="10" t="str">
        <x:v>FMT-033</x:v>
      </x:c>
      <x:c r="B380" s="10" t="str">
        <x:v>04 文件与索引</x:v>
      </x:c>
      <x:c r="C380" s="10" t="str">
        <x:v>所有支持文件格式</x:v>
      </x:c>
      <x:c r="D380" s="10" t="str">
        <x:v>P1</x:v>
      </x:c>
      <x:c r="E380" s="10" t="str">
        <x:v>.tif 原生文件解析</x:v>
      </x:c>
      <x:c r="F380" s="10" t="str">
        <x:v>真实原生格式样本；绝不能靠重命名后缀制造样本；对应依赖已就绪</x:v>
      </x:c>
      <x:c r="G380" s="10" t="str">
        <x:v>准备真实 .tif 文件，写入/录入唯一标记、26 万/6 周等标准事实
分别知识库上传索引、检索与 Agent 附件提问
查看来源位置</x:v>
      </x:c>
      <x:c r="H380" s="10" t="str">
        <x:v>真实图像编码及 Tesseract OCR正常
提取标准事实与元数据
缺依赖明示警告/失败
不得把改后缀二进制当有效样例</x:v>
      </x:c>
      <x:c r="I380" s="10" t="str">
        <x:v>截图或录屏、脱敏请求响应、对象 ID、时间及相关日志</x:v>
      </x:c>
      <x:c r="J380" s="11" t="str">
        <x:v>未执行</x:v>
      </x:c>
      <x:c r="K380" s="11" t="str"/>
      <x:c r="L380" s="11" t="str"/>
      <x:c r="M380" s="11" t="str"/>
      <x:c r="N380" s="12"/>
      <x:c r="O380" s="11" t="str"/>
    </x:row>
    <x:row r="381" ht="52.79999923706055" hidden="0" customHeight="1">
      <x:c r="A381" s="10" t="str">
        <x:v>FMT-034</x:v>
      </x:c>
      <x:c r="B381" s="10" t="str">
        <x:v>04 文件与索引</x:v>
      </x:c>
      <x:c r="C381" s="10" t="str">
        <x:v>所有支持文件格式</x:v>
      </x:c>
      <x:c r="D381" s="10" t="str">
        <x:v>P1</x:v>
      </x:c>
      <x:c r="E381" s="10" t="str">
        <x:v>.tiff 原生文件解析</x:v>
      </x:c>
      <x:c r="F381" s="10" t="str">
        <x:v>真实原生格式样本；绝不能靠重命名后缀制造样本；对应依赖已就绪</x:v>
      </x:c>
      <x:c r="G381" s="10" t="str">
        <x:v>准备真实 .tiff 文件，写入/录入唯一标记、26 万/6 周等标准事实
分别知识库上传索引、检索与 Agent 附件提问
查看来源位置</x:v>
      </x:c>
      <x:c r="H381" s="10" t="str">
        <x:v>真实图像编码及 Tesseract OCR正常
提取标准事实与元数据
缺依赖明示警告/失败
不得把改后缀二进制当有效样例</x:v>
      </x:c>
      <x:c r="I381" s="10" t="str">
        <x:v>截图或录屏、脱敏请求响应、对象 ID、时间及相关日志</x:v>
      </x:c>
      <x:c r="J381" s="11" t="str">
        <x:v>未执行</x:v>
      </x:c>
      <x:c r="K381" s="11" t="str"/>
      <x:c r="L381" s="11" t="str"/>
      <x:c r="M381" s="11" t="str"/>
      <x:c r="N381" s="12"/>
      <x:c r="O381" s="11" t="str"/>
    </x:row>
    <x:row r="382" ht="52.79999923706055" hidden="0" customHeight="1">
      <x:c r="A382" s="10" t="str">
        <x:v>FMT-035</x:v>
      </x:c>
      <x:c r="B382" s="10" t="str">
        <x:v>04 文件与索引</x:v>
      </x:c>
      <x:c r="C382" s="10" t="str">
        <x:v>所有支持文件格式</x:v>
      </x:c>
      <x:c r="D382" s="10" t="str">
        <x:v>P1</x:v>
      </x:c>
      <x:c r="E382" s="10" t="str">
        <x:v>.txt 原生文件解析</x:v>
      </x:c>
      <x:c r="F382" s="10" t="str">
        <x:v>真实原生格式样本；绝不能靠重命名后缀制造样本；对应依赖已就绪</x:v>
      </x:c>
      <x:c r="G382" s="10" t="str">
        <x:v>准备真实 .txt 文件，写入/录入唯一标记、26 万/6 周等标准事实
分别知识库上传索引、检索与 Agent 附件提问
查看来源位置</x:v>
      </x:c>
      <x:c r="H382" s="10" t="str">
        <x:v>原生文本/结构解析正常
提取标准事实与元数据
缺依赖明示警告/失败
不得把改后缀二进制当有效样例</x:v>
      </x:c>
      <x:c r="I382" s="10" t="str">
        <x:v>截图或录屏、脱敏请求响应、对象 ID、时间及相关日志</x:v>
      </x:c>
      <x:c r="J382" s="11" t="str">
        <x:v>未执行</x:v>
      </x:c>
      <x:c r="K382" s="11" t="str"/>
      <x:c r="L382" s="11" t="str"/>
      <x:c r="M382" s="11" t="str"/>
      <x:c r="N382" s="12"/>
      <x:c r="O382" s="11" t="str"/>
    </x:row>
    <x:row r="383" ht="52.79999923706055" hidden="0" customHeight="1">
      <x:c r="A383" s="10" t="str">
        <x:v>FMT-036</x:v>
      </x:c>
      <x:c r="B383" s="10" t="str">
        <x:v>04 文件与索引</x:v>
      </x:c>
      <x:c r="C383" s="10" t="str">
        <x:v>所有支持文件格式</x:v>
      </x:c>
      <x:c r="D383" s="10" t="str">
        <x:v>P1</x:v>
      </x:c>
      <x:c r="E383" s="10" t="str">
        <x:v>.wav 原生文件解析</x:v>
      </x:c>
      <x:c r="F383" s="10" t="str">
        <x:v>真实原生格式样本；绝不能靠重命名后缀制造样本；对应依赖已就绪</x:v>
      </x:c>
      <x:c r="G383" s="10" t="str">
        <x:v>准备真实 .wav 文件，写入/录入唯一标记、26 万/6 周等标准事实
分别知识库上传索引、检索与 Agent 附件提问
查看来源位置</x:v>
      </x:c>
      <x:c r="H383" s="10" t="str">
        <x:v>真实音频编码、FFmpeg/解码、Whisper正常
提取标准事实与元数据
缺依赖明示警告/失败
不得把改后缀二进制当有效样例</x:v>
      </x:c>
      <x:c r="I383" s="10" t="str">
        <x:v>截图或录屏、脱敏请求响应、对象 ID、时间及相关日志</x:v>
      </x:c>
      <x:c r="J383" s="11" t="str">
        <x:v>未执行</x:v>
      </x:c>
      <x:c r="K383" s="11" t="str"/>
      <x:c r="L383" s="11" t="str"/>
      <x:c r="M383" s="11" t="str"/>
      <x:c r="N383" s="12"/>
      <x:c r="O383" s="11" t="str"/>
    </x:row>
    <x:row r="384" ht="52.79999923706055" hidden="0" customHeight="1">
      <x:c r="A384" s="10" t="str">
        <x:v>FMT-037</x:v>
      </x:c>
      <x:c r="B384" s="10" t="str">
        <x:v>04 文件与索引</x:v>
      </x:c>
      <x:c r="C384" s="10" t="str">
        <x:v>所有支持文件格式</x:v>
      </x:c>
      <x:c r="D384" s="10" t="str">
        <x:v>P1</x:v>
      </x:c>
      <x:c r="E384" s="10" t="str">
        <x:v>.webm 原生文件解析</x:v>
      </x:c>
      <x:c r="F384" s="10" t="str">
        <x:v>真实原生格式样本；绝不能靠重命名后缀制造样本；对应依赖已就绪</x:v>
      </x:c>
      <x:c r="G384" s="10" t="str">
        <x:v>准备真实 .webm 文件，写入/录入唯一标记、26 万/6 周等标准事实
分别知识库上传索引、检索与 Agent 附件提问
查看来源位置</x:v>
      </x:c>
      <x:c r="H384" s="10" t="str">
        <x:v>真实视频编码、FFmpeg/Whisper、抽帧 OCR正常
提取标准事实与元数据
缺依赖明示警告/失败
不得把改后缀二进制当有效样例</x:v>
      </x:c>
      <x:c r="I384" s="10" t="str">
        <x:v>截图或录屏、脱敏请求响应、对象 ID、时间及相关日志</x:v>
      </x:c>
      <x:c r="J384" s="11" t="str">
        <x:v>未执行</x:v>
      </x:c>
      <x:c r="K384" s="11" t="str"/>
      <x:c r="L384" s="11" t="str"/>
      <x:c r="M384" s="11" t="str"/>
      <x:c r="N384" s="12"/>
      <x:c r="O384" s="11" t="str"/>
    </x:row>
    <x:row r="385" ht="52.79999923706055" hidden="0" customHeight="1">
      <x:c r="A385" s="10" t="str">
        <x:v>FMT-038</x:v>
      </x:c>
      <x:c r="B385" s="10" t="str">
        <x:v>04 文件与索引</x:v>
      </x:c>
      <x:c r="C385" s="10" t="str">
        <x:v>所有支持文件格式</x:v>
      </x:c>
      <x:c r="D385" s="10" t="str">
        <x:v>P1</x:v>
      </x:c>
      <x:c r="E385" s="10" t="str">
        <x:v>.webp 原生文件解析</x:v>
      </x:c>
      <x:c r="F385" s="10" t="str">
        <x:v>真实原生格式样本；绝不能靠重命名后缀制造样本；对应依赖已就绪</x:v>
      </x:c>
      <x:c r="G385" s="10" t="str">
        <x:v>准备真实 .webp 文件，写入/录入唯一标记、26 万/6 周等标准事实
分别知识库上传索引、检索与 Agent 附件提问
查看来源位置</x:v>
      </x:c>
      <x:c r="H385" s="10" t="str">
        <x:v>真实图像编码及 Tesseract OCR正常
提取标准事实与元数据
缺依赖明示警告/失败
不得把改后缀二进制当有效样例</x:v>
      </x:c>
      <x:c r="I385" s="10" t="str">
        <x:v>截图或录屏、脱敏请求响应、对象 ID、时间及相关日志</x:v>
      </x:c>
      <x:c r="J385" s="11" t="str">
        <x:v>未执行</x:v>
      </x:c>
      <x:c r="K385" s="11" t="str"/>
      <x:c r="L385" s="11" t="str"/>
      <x:c r="M385" s="11" t="str"/>
      <x:c r="N385" s="12"/>
      <x:c r="O385" s="11" t="str"/>
    </x:row>
    <x:row r="386" ht="52.79999923706055" hidden="0" customHeight="1">
      <x:c r="A386" s="10" t="str">
        <x:v>FMT-039</x:v>
      </x:c>
      <x:c r="B386" s="10" t="str">
        <x:v>04 文件与索引</x:v>
      </x:c>
      <x:c r="C386" s="10" t="str">
        <x:v>所有支持文件格式</x:v>
      </x:c>
      <x:c r="D386" s="10" t="str">
        <x:v>P1</x:v>
      </x:c>
      <x:c r="E386" s="10" t="str">
        <x:v>.xls 原生文件解析</x:v>
      </x:c>
      <x:c r="F386" s="10" t="str">
        <x:v>真实原生格式样本；绝不能靠重命名后缀制造样本；对应依赖已就绪</x:v>
      </x:c>
      <x:c r="G386" s="10" t="str">
        <x:v>准备真实 .xls 文件，写入/录入唯一标记、26 万/6 周等标准事实
分别知识库上传索引、检索与 Agent 附件提问
查看来源位置</x:v>
      </x:c>
      <x:c r="H386" s="10" t="str">
        <x:v>对应原生解析器或 LibreOffice 转换正常
提取标准事实与元数据
缺依赖明示警告/失败
不得把改后缀二进制当有效样例</x:v>
      </x:c>
      <x:c r="I386" s="10" t="str">
        <x:v>截图或录屏、脱敏请求响应、对象 ID、时间及相关日志</x:v>
      </x:c>
      <x:c r="J386" s="11" t="str">
        <x:v>未执行</x:v>
      </x:c>
      <x:c r="K386" s="11" t="str"/>
      <x:c r="L386" s="11" t="str"/>
      <x:c r="M386" s="11" t="str"/>
      <x:c r="N386" s="12"/>
      <x:c r="O386" s="11" t="str"/>
    </x:row>
    <x:row r="387" ht="52.79999923706055" hidden="0" customHeight="1">
      <x:c r="A387" s="10" t="str">
        <x:v>FMT-040</x:v>
      </x:c>
      <x:c r="B387" s="10" t="str">
        <x:v>04 文件与索引</x:v>
      </x:c>
      <x:c r="C387" s="10" t="str">
        <x:v>所有支持文件格式</x:v>
      </x:c>
      <x:c r="D387" s="10" t="str">
        <x:v>P1</x:v>
      </x:c>
      <x:c r="E387" s="10" t="str">
        <x:v>.xlsx 原生文件解析</x:v>
      </x:c>
      <x:c r="F387" s="10" t="str">
        <x:v>真实原生格式样本；绝不能靠重命名后缀制造样本；对应依赖已就绪</x:v>
      </x:c>
      <x:c r="G387" s="10" t="str">
        <x:v>准备真实 .xlsx 文件，写入/录入唯一标记、26 万/6 周等标准事实
分别知识库上传索引、检索与 Agent 附件提问
查看来源位置</x:v>
      </x:c>
      <x:c r="H387" s="10" t="str">
        <x:v>原生文本/结构解析正常
提取标准事实与元数据
缺依赖明示警告/失败
不得把改后缀二进制当有效样例</x:v>
      </x:c>
      <x:c r="I387" s="10" t="str">
        <x:v>截图或录屏、脱敏请求响应、对象 ID、时间及相关日志</x:v>
      </x:c>
      <x:c r="J387" s="11" t="str">
        <x:v>未执行</x:v>
      </x:c>
      <x:c r="K387" s="11" t="str"/>
      <x:c r="L387" s="11" t="str"/>
      <x:c r="M387" s="11" t="str"/>
      <x:c r="N387" s="12"/>
      <x:c r="O387" s="11" t="str"/>
    </x:row>
    <x:row r="388" ht="39.599998474121094" hidden="0" customHeight="1">
      <x:c r="A388" s="10" t="str">
        <x:v>FILEX-001</x:v>
      </x:c>
      <x:c r="B388" s="10" t="str">
        <x:v>04 文件与索引</x:v>
      </x:c>
      <x:c r="C388" s="10" t="str">
        <x:v>复杂文件与原生文档生成</x:v>
      </x:c>
      <x:c r="D388" s="10" t="str">
        <x:v>P1</x:v>
      </x:c>
      <x:c r="E388" s="10" t="str">
        <x:v>扫描与混合 PDF</x:v>
      </x:c>
      <x:c r="F388" s="10" t="str">
        <x:v>真实 Office/PDF/多媒体原生样本及只在 QA 允许的写工具</x:v>
      </x:c>
      <x:c r="G388" s="10" t="str">
        <x:v>分别上传纯扫描中文/英文、多页文本混合扫描、无文本 PDF</x:v>
      </x:c>
      <x:c r="H388" s="10" t="str">
        <x:v>Tesseract/Poppler 生效
页码与 OCR 警告真实
不默默跳页</x:v>
      </x:c>
      <x:c r="I388" s="10" t="str">
        <x:v>截图或录屏、脱敏请求响应、对象 ID、时间及相关日志</x:v>
      </x:c>
      <x:c r="J388" s="11" t="str">
        <x:v>未执行</x:v>
      </x:c>
      <x:c r="K388" s="11" t="str"/>
      <x:c r="L388" s="11" t="str"/>
      <x:c r="M388" s="11" t="str"/>
      <x:c r="N388" s="12"/>
      <x:c r="O388" s="11" t="str"/>
    </x:row>
    <x:row r="389" ht="39.599998474121094" hidden="0" customHeight="1">
      <x:c r="A389" s="10" t="str">
        <x:v>FILEX-002</x:v>
      </x:c>
      <x:c r="B389" s="10" t="str">
        <x:v>04 文件与索引</x:v>
      </x:c>
      <x:c r="C389" s="10" t="str">
        <x:v>复杂文件与原生文档生成</x:v>
      </x:c>
      <x:c r="D389" s="10" t="str">
        <x:v>P1</x:v>
      </x:c>
      <x:c r="E389" s="10" t="str">
        <x:v>PDF 特殊情况</x:v>
      </x:c>
      <x:c r="F389" s="10" t="str">
        <x:v>真实 Office/PDF/多媒体原生样本及只在 QA 允许的写工具</x:v>
      </x:c>
      <x:c r="G389" s="10" t="str">
        <x:v>加密、损坏、超 OCR 页数 PDF
复杂表格和多栏 PDF</x:v>
      </x:c>
      <x:c r="H389" s="10" t="str">
        <x:v>错误/页数上限说明清楚
不假称全文已读取
没有超时失控</x:v>
      </x:c>
      <x:c r="I389" s="10" t="str">
        <x:v>截图或录屏、脱敏请求响应、对象 ID、时间及相关日志</x:v>
      </x:c>
      <x:c r="J389" s="11" t="str">
        <x:v>未执行</x:v>
      </x:c>
      <x:c r="K389" s="11" t="str"/>
      <x:c r="L389" s="11" t="str"/>
      <x:c r="M389" s="11" t="str"/>
      <x:c r="N389" s="12"/>
      <x:c r="O389" s="11" t="str"/>
    </x:row>
    <x:row r="390" ht="39.599998474121094" hidden="0" customHeight="1">
      <x:c r="A390" s="10" t="str">
        <x:v>FILEX-003</x:v>
      </x:c>
      <x:c r="B390" s="10" t="str">
        <x:v>04 文件与索引</x:v>
      </x:c>
      <x:c r="C390" s="10" t="str">
        <x:v>复杂文件与原生文档生成</x:v>
      </x:c>
      <x:c r="D390" s="10" t="str">
        <x:v>P1</x:v>
      </x:c>
      <x:c r="E390" s="10" t="str">
        <x:v>Office 结构</x:v>
      </x:c>
      <x:c r="F390" s="10" t="str">
        <x:v>真实 Office/PDF/多媒体原生样本及只在 QA 允许的写工具</x:v>
      </x:c>
      <x:c r="G390" s="10" t="str">
        <x:v>含标题、表格、列表、页眉与嵌图的 DOCX/XLSX/PPTX</x:v>
      </x:c>
      <x:c r="H390" s="10" t="str">
        <x:v>保留可用结构和位置
图像内容按 OCR 策略处理
事实不丢失</x:v>
      </x:c>
      <x:c r="I390" s="10" t="str">
        <x:v>截图或录屏、脱敏请求响应、对象 ID、时间及相关日志</x:v>
      </x:c>
      <x:c r="J390" s="11" t="str">
        <x:v>未执行</x:v>
      </x:c>
      <x:c r="K390" s="11" t="str"/>
      <x:c r="L390" s="11" t="str"/>
      <x:c r="M390" s="11" t="str"/>
      <x:c r="N390" s="12"/>
      <x:c r="O390" s="11" t="str"/>
    </x:row>
    <x:row r="391" ht="26.399999618530273" hidden="0" customHeight="1">
      <x:c r="A391" s="10" t="str">
        <x:v>FILEX-004</x:v>
      </x:c>
      <x:c r="B391" s="10" t="str">
        <x:v>04 文件与索引</x:v>
      </x:c>
      <x:c r="C391" s="10" t="str">
        <x:v>复杂文件与原生文档生成</x:v>
      </x:c>
      <x:c r="D391" s="10" t="str">
        <x:v>P1</x:v>
      </x:c>
      <x:c r="E391" s="10" t="str">
        <x:v>表格数据与公式</x:v>
      </x:c>
      <x:c r="F391" s="10" t="str">
        <x:v>真实 Office/PDF/多媒体原生样本及只在 QA 允许的写工具</x:v>
      </x:c>
      <x:c r="G391" s="10" t="str">
        <x:v>多 Sheet、合并格、数字/百分比/日期和公式缓存的表格
问精确值</x:v>
      </x:c>
      <x:c r="H391" s="10" t="str">
        <x:v>真实读取语义与限制明确
不把公式字符串或过期缓存冒充重算结果</x:v>
      </x:c>
      <x:c r="I391" s="10" t="str">
        <x:v>截图或录屏、脱敏请求响应、对象 ID、时间及相关日志</x:v>
      </x:c>
      <x:c r="J391" s="11" t="str">
        <x:v>未执行</x:v>
      </x:c>
      <x:c r="K391" s="11" t="str"/>
      <x:c r="L391" s="11" t="str"/>
      <x:c r="M391" s="11" t="str"/>
      <x:c r="N391" s="12"/>
      <x:c r="O391" s="11" t="str"/>
    </x:row>
    <x:row r="392" ht="26.399999618530273" hidden="0" customHeight="1">
      <x:c r="A392" s="10" t="str">
        <x:v>FILEX-005</x:v>
      </x:c>
      <x:c r="B392" s="10" t="str">
        <x:v>04 文件与索引</x:v>
      </x:c>
      <x:c r="C392" s="10" t="str">
        <x:v>复杂文件与原生文档生成</x:v>
      </x:c>
      <x:c r="D392" s="10" t="str">
        <x:v>P1</x:v>
      </x:c>
      <x:c r="E392" s="10" t="str">
        <x:v>音视频内容</x:v>
      </x:c>
      <x:c r="F392" s="10" t="str">
        <x:v>真实 Office/PDF/多媒体原生样本及只在 QA 允许的写工具</x:v>
      </x:c>
      <x:c r="G392" s="10" t="str">
        <x:v>含中文/英文、静音、长时、噪声与屏幕文字的视频</x:v>
      </x:c>
      <x:c r="H392" s="10" t="str">
        <x:v>时间戳、抽帧范围和转写质量可查
静音/失败不编造内容</x:v>
      </x:c>
      <x:c r="I392" s="10" t="str">
        <x:v>截图或录屏、脱敏请求响应、对象 ID、时间及相关日志</x:v>
      </x:c>
      <x:c r="J392" s="11" t="str">
        <x:v>未执行</x:v>
      </x:c>
      <x:c r="K392" s="11" t="str"/>
      <x:c r="L392" s="11" t="str"/>
      <x:c r="M392" s="11" t="str"/>
      <x:c r="N392" s="12"/>
      <x:c r="O392" s="11" t="str"/>
    </x:row>
    <x:row r="393" ht="66" hidden="0" customHeight="1">
      <x:c r="A393" s="10" t="str">
        <x:v>FILEX-006</x:v>
      </x:c>
      <x:c r="B393" s="10" t="str">
        <x:v>04 文件与索引</x:v>
      </x:c>
      <x:c r="C393" s="10" t="str">
        <x:v>复杂文件与原生文档生成</x:v>
      </x:c>
      <x:c r="D393" s="10" t="str">
        <x:v>P1</x:v>
      </x:c>
      <x:c r="E393" s="10" t="str">
        <x:v>编码与结构文本</x:v>
      </x:c>
      <x:c r="F393" s="10" t="str">
        <x:v>真实 Office/PDF/多媒体原生样本及只在 QA 允许的写工具</x:v>
      </x:c>
      <x:c r="G393" s="10" t="str">
        <x:v>UTF-8/GBK 文本
复杂 HTML
嵌套 JSON
CSV 转义
空 SVG</x:v>
      </x:c>
      <x:c r="H393" s="10" t="str">
        <x:v>解析结果可读或有明确限制
不执行 HTML/JSON/SVG 内指令</x:v>
      </x:c>
      <x:c r="I393" s="10" t="str">
        <x:v>截图或录屏、脱敏请求响应、对象 ID、时间及相关日志</x:v>
      </x:c>
      <x:c r="J393" s="11" t="str">
        <x:v>未执行</x:v>
      </x:c>
      <x:c r="K393" s="11" t="str"/>
      <x:c r="L393" s="11" t="str"/>
      <x:c r="M393" s="11" t="str"/>
      <x:c r="N393" s="12"/>
      <x:c r="O393" s="11" t="str"/>
    </x:row>
    <x:row r="394" ht="39.599998474121094" hidden="0" customHeight="1">
      <x:c r="A394" s="10" t="str">
        <x:v>FILEX-007</x:v>
      </x:c>
      <x:c r="B394" s="10" t="str">
        <x:v>04 文件与索引</x:v>
      </x:c>
      <x:c r="C394" s="10" t="str">
        <x:v>复杂文件与原生文档生成</x:v>
      </x:c>
      <x:c r="D394" s="10" t="str">
        <x:v>P1</x:v>
      </x:c>
      <x:c r="E394" s="10" t="str">
        <x:v>Markdown 原生生成</x:v>
      </x:c>
      <x:c r="F394" s="10" t="str">
        <x:v>真实 Office/PDF/多媒体原生样本及只在 QA 允许的写工具</x:v>
      </x:c>
      <x:c r="G394" s="10" t="str">
        <x:v>授权 QA generate_document_bundle 生成 markdown
打开并对照</x:v>
      </x:c>
      <x:c r="H394" s="10" t="str">
        <x:v>文件可用
标题、表格、引用和代码内容完整
产物可下载</x:v>
      </x:c>
      <x:c r="I394" s="10" t="str">
        <x:v>截图或录屏、脱敏请求响应、对象 ID、时间及相关日志</x:v>
      </x:c>
      <x:c r="J394" s="11" t="str">
        <x:v>未执行</x:v>
      </x:c>
      <x:c r="K394" s="11" t="str"/>
      <x:c r="L394" s="11" t="str"/>
      <x:c r="M394" s="11" t="str"/>
      <x:c r="N394" s="12"/>
      <x:c r="O394" s="11" t="str"/>
    </x:row>
    <x:row r="395" ht="39.599998474121094" hidden="0" customHeight="1">
      <x:c r="A395" s="10" t="str">
        <x:v>FILEX-008</x:v>
      </x:c>
      <x:c r="B395" s="10" t="str">
        <x:v>04 文件与索引</x:v>
      </x:c>
      <x:c r="C395" s="10" t="str">
        <x:v>复杂文件与原生文档生成</x:v>
      </x:c>
      <x:c r="D395" s="10" t="str">
        <x:v>P1</x:v>
      </x:c>
      <x:c r="E395" s="10" t="str">
        <x:v>DOCX 原生生成</x:v>
      </x:c>
      <x:c r="F395" s="10" t="str">
        <x:v>真实 Office/PDF/多媒体原生样本及只在 QA 允许的写工具</x:v>
      </x:c>
      <x:c r="G395" s="10" t="str">
        <x:v>授权 QA 工具从含标题/表格/链接/代码中文报告生成 docx
用 Word 打开</x:v>
      </x:c>
      <x:c r="H395" s="10" t="str">
        <x:v>是真正 DOCX
结构和中文正常
无满页 Markdown 标记</x:v>
      </x:c>
      <x:c r="I395" s="10" t="str">
        <x:v>截图或录屏、脱敏请求响应、对象 ID、时间及相关日志</x:v>
      </x:c>
      <x:c r="J395" s="11" t="str">
        <x:v>未执行</x:v>
      </x:c>
      <x:c r="K395" s="11" t="str"/>
      <x:c r="L395" s="11" t="str"/>
      <x:c r="M395" s="11" t="str"/>
      <x:c r="N395" s="12"/>
      <x:c r="O395" s="11" t="str"/>
    </x:row>
    <x:row r="396" ht="39.599998474121094" hidden="0" customHeight="1">
      <x:c r="A396" s="10" t="str">
        <x:v>FILEX-009</x:v>
      </x:c>
      <x:c r="B396" s="10" t="str">
        <x:v>04 文件与索引</x:v>
      </x:c>
      <x:c r="C396" s="10" t="str">
        <x:v>复杂文件与原生文档生成</x:v>
      </x:c>
      <x:c r="D396" s="10" t="str">
        <x:v>P1</x:v>
      </x:c>
      <x:c r="E396" s="10" t="str">
        <x:v>PDF 原生生成</x:v>
      </x:c>
      <x:c r="F396" s="10" t="str">
        <x:v>真实 Office/PDF/多媒体原生样本及只在 QA 允许的写工具</x:v>
      </x:c>
      <x:c r="G396" s="10" t="str">
        <x:v>授权 QA 工具生成 pdf
逐页打开查看文字、表格、分页</x:v>
      </x:c>
      <x:c r="H396" s="10" t="str">
        <x:v>是真正 PDF
中文字体/分页正确
无裁切或空页</x:v>
      </x:c>
      <x:c r="I396" s="10" t="str">
        <x:v>截图或录屏、脱敏请求响应、对象 ID、时间及相关日志</x:v>
      </x:c>
      <x:c r="J396" s="11" t="str">
        <x:v>未执行</x:v>
      </x:c>
      <x:c r="K396" s="11" t="str"/>
      <x:c r="L396" s="11" t="str"/>
      <x:c r="M396" s="11" t="str"/>
      <x:c r="N396" s="12"/>
      <x:c r="O396" s="11" t="str"/>
    </x:row>
    <x:row r="397" ht="39.599998474121094" hidden="0" customHeight="1">
      <x:c r="A397" s="10" t="str">
        <x:v>FILEX-010</x:v>
      </x:c>
      <x:c r="B397" s="10" t="str">
        <x:v>04 文件与索引</x:v>
      </x:c>
      <x:c r="C397" s="10" t="str">
        <x:v>复杂文件与原生文档生成</x:v>
      </x:c>
      <x:c r="D397" s="10" t="str">
        <x:v>P1</x:v>
      </x:c>
      <x:c r="E397" s="10" t="str">
        <x:v>PPTX 原生生成</x:v>
      </x:c>
      <x:c r="F397" s="10" t="str">
        <x:v>真实 Office/PDF/多媒体原生样本及只在 QA 允许的写工具</x:v>
      </x:c>
      <x:c r="G397" s="10" t="str">
        <x:v>授权 QA 工具生成 pptx
逐页查看标题、列表、表格与链接</x:v>
      </x:c>
      <x:c r="H397" s="10" t="str">
        <x:v>是真正 PPTX
结构完整、文字可读
不是改后缀文本</x:v>
      </x:c>
      <x:c r="I397" s="10" t="str">
        <x:v>截图或录屏、脱敏请求响应、对象 ID、时间及相关日志</x:v>
      </x:c>
      <x:c r="J397" s="11" t="str">
        <x:v>未执行</x:v>
      </x:c>
      <x:c r="K397" s="11" t="str"/>
      <x:c r="L397" s="11" t="str"/>
      <x:c r="M397" s="11" t="str"/>
      <x:c r="N397" s="12"/>
      <x:c r="O397" s="11" t="str"/>
    </x:row>
    <x:row r="398" ht="39.599998474121094" hidden="0" customHeight="1">
      <x:c r="A398" s="10" t="str">
        <x:v>FILEX-011</x:v>
      </x:c>
      <x:c r="B398" s="10" t="str">
        <x:v>04 文件与索引</x:v>
      </x:c>
      <x:c r="C398" s="10" t="str">
        <x:v>复杂文件与原生文档生成</x:v>
      </x:c>
      <x:c r="D398" s="10" t="str">
        <x:v>P0</x:v>
      </x:c>
      <x:c r="E398" s="10" t="str">
        <x:v>生成失败与权限</x:v>
      </x:c>
      <x:c r="F398" s="10" t="str">
        <x:v>真实 Office/PDF/多媒体原生样本及只在 QA 允许的写工具</x:v>
      </x:c>
      <x:c r="G398" s="10" t="str">
        <x:v>未确认写工具、目录不合法、缺转换依赖、过长报告或 unsupported format</x:v>
      </x:c>
      <x:c r="H398" s="10" t="str">
        <x:v>拒绝/失败明确
不写目录外文件
部分产物状态真实</x:v>
      </x:c>
      <x:c r="I398" s="10" t="str">
        <x:v>截图或录屏、脱敏请求响应、对象 ID、时间及相关日志</x:v>
      </x:c>
      <x:c r="J398" s="11" t="str">
        <x:v>未执行</x:v>
      </x:c>
      <x:c r="K398" s="11" t="str"/>
      <x:c r="L398" s="11" t="str"/>
      <x:c r="M398" s="11" t="str"/>
      <x:c r="N398" s="12"/>
      <x:c r="O398" s="11" t="str"/>
    </x:row>
    <x:row r="399" ht="66" hidden="0" customHeight="1">
      <x:c r="A399" s="10" t="str">
        <x:v>PAGE-001</x:v>
      </x:c>
      <x:c r="B399" s="10" t="str">
        <x:v>08 全站功能</x:v>
      </x:c>
      <x:c r="C399" s="10" t="str">
        <x:v>全部页面通用验收</x:v>
      </x:c>
      <x:c r="D399" s="10" t="str">
        <x:v>P1</x:v>
      </x:c>
      <x:c r="E399" s="10" t="str">
        <x:v>LoginView 页面</x:v>
      </x:c>
      <x:c r="F399" s="10" t="str">
        <x:v>每页均使用有数据、无数据、接口失败三种真实或可控测试状态</x:v>
      </x:c>
      <x:c r="G399" s="10" t="str">
        <x:v>打开该页
刷新深链接
有数据/空状态/失败重试
验证该页模块 AUTH 的每个按钮、筛选、表单与弹窗
窄屏与主题切换</x:v>
      </x:c>
      <x:c r="H399" s="10" t="str">
        <x:v>页面身份正确且有内容
无控制台错误/构建遮罩
 loading/empty/error 不混淆
状态持久化且布局可操作</x:v>
      </x:c>
      <x:c r="I399" s="10" t="str">
        <x:v>截图或录屏、脱敏请求响应、对象 ID、时间及相关日志</x:v>
      </x:c>
      <x:c r="J399" s="11" t="str">
        <x:v>未执行</x:v>
      </x:c>
      <x:c r="K399" s="11" t="str"/>
      <x:c r="L399" s="11" t="str"/>
      <x:c r="M399" s="11" t="str"/>
      <x:c r="N399" s="12"/>
      <x:c r="O399" s="11" t="str"/>
    </x:row>
    <x:row r="400" ht="66" hidden="0" customHeight="1">
      <x:c r="A400" s="10" t="str">
        <x:v>PAGE-002</x:v>
      </x:c>
      <x:c r="B400" s="10" t="str">
        <x:v>08 全站功能</x:v>
      </x:c>
      <x:c r="C400" s="10" t="str">
        <x:v>全部页面通用验收</x:v>
      </x:c>
      <x:c r="D400" s="10" t="str">
        <x:v>P1</x:v>
      </x:c>
      <x:c r="E400" s="10" t="str">
        <x:v>RegisterView 页面</x:v>
      </x:c>
      <x:c r="F400" s="10" t="str">
        <x:v>每页均使用有数据、无数据、接口失败三种真实或可控测试状态</x:v>
      </x:c>
      <x:c r="G400" s="10" t="str">
        <x:v>打开该页
刷新深链接
有数据/空状态/失败重试
验证该页模块 AUTH 的每个按钮、筛选、表单与弹窗
窄屏与主题切换</x:v>
      </x:c>
      <x:c r="H400" s="10" t="str">
        <x:v>页面身份正确且有内容
无控制台错误/构建遮罩
 loading/empty/error 不混淆
状态持久化且布局可操作</x:v>
      </x:c>
      <x:c r="I400" s="10" t="str">
        <x:v>截图或录屏、脱敏请求响应、对象 ID、时间及相关日志</x:v>
      </x:c>
      <x:c r="J400" s="11" t="str">
        <x:v>未执行</x:v>
      </x:c>
      <x:c r="K400" s="11" t="str"/>
      <x:c r="L400" s="11" t="str"/>
      <x:c r="M400" s="11" t="str"/>
      <x:c r="N400" s="12"/>
      <x:c r="O400" s="11" t="str"/>
    </x:row>
    <x:row r="401" ht="66" hidden="0" customHeight="1">
      <x:c r="A401" s="10" t="str">
        <x:v>PAGE-003</x:v>
      </x:c>
      <x:c r="B401" s="10" t="str">
        <x:v>08 全站功能</x:v>
      </x:c>
      <x:c r="C401" s="10" t="str">
        <x:v>全部页面通用验收</x:v>
      </x:c>
      <x:c r="D401" s="10" t="str">
        <x:v>P1</x:v>
      </x:c>
      <x:c r="E401" s="10" t="str">
        <x:v>HelpCenterView 页面</x:v>
      </x:c>
      <x:c r="F401" s="10" t="str">
        <x:v>每页均使用有数据、无数据、接口失败三种真实或可控测试状态</x:v>
      </x:c>
      <x:c r="G401" s="10" t="str">
        <x:v>打开该页
刷新深链接
有数据/空状态/失败重试
验证该页模块 STAT 的每个按钮、筛选、表单与弹窗
窄屏与主题切换</x:v>
      </x:c>
      <x:c r="H401" s="10" t="str">
        <x:v>页面身份正确且有内容
无控制台错误/构建遮罩
 loading/empty/error 不混淆
状态持久化且布局可操作</x:v>
      </x:c>
      <x:c r="I401" s="10" t="str">
        <x:v>截图或录屏、脱敏请求响应、对象 ID、时间及相关日志</x:v>
      </x:c>
      <x:c r="J401" s="11" t="str">
        <x:v>未执行</x:v>
      </x:c>
      <x:c r="K401" s="11" t="str"/>
      <x:c r="L401" s="11" t="str"/>
      <x:c r="M401" s="11" t="str"/>
      <x:c r="N401" s="12"/>
      <x:c r="O401" s="11" t="str"/>
    </x:row>
    <x:row r="402" ht="66" hidden="0" customHeight="1">
      <x:c r="A402" s="10" t="str">
        <x:v>PAGE-004</x:v>
      </x:c>
      <x:c r="B402" s="10" t="str">
        <x:v>08 全站功能</x:v>
      </x:c>
      <x:c r="C402" s="10" t="str">
        <x:v>全部页面通用验收</x:v>
      </x:c>
      <x:c r="D402" s="10" t="str">
        <x:v>P1</x:v>
      </x:c>
      <x:c r="E402" s="10" t="str">
        <x:v>ActionItemsView 页面</x:v>
      </x:c>
      <x:c r="F402" s="10" t="str">
        <x:v>每页均使用有数据、无数据、接口失败三种真实或可控测试状态</x:v>
      </x:c>
      <x:c r="G402" s="10" t="str">
        <x:v>打开该页
刷新深链接
有数据/空状态/失败重试
验证该页模块 REPORT 的每个按钮、筛选、表单与弹窗
窄屏与主题切换</x:v>
      </x:c>
      <x:c r="H402" s="10" t="str">
        <x:v>页面身份正确且有内容
无控制台错误/构建遮罩
 loading/empty/error 不混淆
状态持久化且布局可操作</x:v>
      </x:c>
      <x:c r="I402" s="10" t="str">
        <x:v>截图或录屏、脱敏请求响应、对象 ID、时间及相关日志</x:v>
      </x:c>
      <x:c r="J402" s="11" t="str">
        <x:v>未执行</x:v>
      </x:c>
      <x:c r="K402" s="11" t="str"/>
      <x:c r="L402" s="11" t="str"/>
      <x:c r="M402" s="11" t="str"/>
      <x:c r="N402" s="12"/>
      <x:c r="O402" s="11" t="str"/>
    </x:row>
    <x:row r="403" ht="66" hidden="0" customHeight="1">
      <x:c r="A403" s="10" t="str">
        <x:v>PAGE-005</x:v>
      </x:c>
      <x:c r="B403" s="10" t="str">
        <x:v>08 全站功能</x:v>
      </x:c>
      <x:c r="C403" s="10" t="str">
        <x:v>全部页面通用验收</x:v>
      </x:c>
      <x:c r="D403" s="10" t="str">
        <x:v>P1</x:v>
      </x:c>
      <x:c r="E403" s="10" t="str">
        <x:v>AgentWorkspaceView 页面</x:v>
      </x:c>
      <x:c r="F403" s="10" t="str">
        <x:v>每页均使用有数据、无数据、接口失败三种真实或可控测试状态</x:v>
      </x:c>
      <x:c r="G403" s="10" t="str">
        <x:v>打开该页
刷新深链接
有数据/空状态/失败重试
验证该页模块 AGENT 的每个按钮、筛选、表单与弹窗
窄屏与主题切换</x:v>
      </x:c>
      <x:c r="H403" s="10" t="str">
        <x:v>页面身份正确且有内容
无控制台错误/构建遮罩
 loading/empty/error 不混淆
状态持久化且布局可操作</x:v>
      </x:c>
      <x:c r="I403" s="10" t="str">
        <x:v>截图或录屏、脱敏请求响应、对象 ID、时间及相关日志</x:v>
      </x:c>
      <x:c r="J403" s="11" t="str">
        <x:v>未执行</x:v>
      </x:c>
      <x:c r="K403" s="11" t="str"/>
      <x:c r="L403" s="11" t="str"/>
      <x:c r="M403" s="11" t="str"/>
      <x:c r="N403" s="12"/>
      <x:c r="O403" s="11" t="str"/>
    </x:row>
    <x:row r="404" ht="66" hidden="0" customHeight="1">
      <x:c r="A404" s="10" t="str">
        <x:v>PAGE-006</x:v>
      </x:c>
      <x:c r="B404" s="10" t="str">
        <x:v>08 全站功能</x:v>
      </x:c>
      <x:c r="C404" s="10" t="str">
        <x:v>全部页面通用验收</x:v>
      </x:c>
      <x:c r="D404" s="10" t="str">
        <x:v>P1</x:v>
      </x:c>
      <x:c r="E404" s="10" t="str">
        <x:v>AssetDetailView 页面</x:v>
      </x:c>
      <x:c r="F404" s="10" t="str">
        <x:v>每页均使用有数据、无数据、接口失败三种真实或可控测试状态</x:v>
      </x:c>
      <x:c r="G404" s="10" t="str">
        <x:v>打开该页
刷新深链接
有数据/空状态/失败重试
验证该页模块 ASSET 的每个按钮、筛选、表单与弹窗
窄屏与主题切换</x:v>
      </x:c>
      <x:c r="H404" s="10" t="str">
        <x:v>页面身份正确且有内容
无控制台错误/构建遮罩
 loading/empty/error 不混淆
状态持久化且布局可操作</x:v>
      </x:c>
      <x:c r="I404" s="10" t="str">
        <x:v>截图或录屏、脱敏请求响应、对象 ID、时间及相关日志</x:v>
      </x:c>
      <x:c r="J404" s="11" t="str">
        <x:v>未执行</x:v>
      </x:c>
      <x:c r="K404" s="11" t="str"/>
      <x:c r="L404" s="11" t="str"/>
      <x:c r="M404" s="11" t="str"/>
      <x:c r="N404" s="12"/>
      <x:c r="O404" s="11" t="str"/>
    </x:row>
    <x:row r="405" ht="66" hidden="0" customHeight="1">
      <x:c r="A405" s="10" t="str">
        <x:v>PAGE-007</x:v>
      </x:c>
      <x:c r="B405" s="10" t="str">
        <x:v>08 全站功能</x:v>
      </x:c>
      <x:c r="C405" s="10" t="str">
        <x:v>全部页面通用验收</x:v>
      </x:c>
      <x:c r="D405" s="10" t="str">
        <x:v>P1</x:v>
      </x:c>
      <x:c r="E405" s="10" t="str">
        <x:v>AssetsView 页面</x:v>
      </x:c>
      <x:c r="F405" s="10" t="str">
        <x:v>每页均使用有数据、无数据、接口失败三种真实或可控测试状态</x:v>
      </x:c>
      <x:c r="G405" s="10" t="str">
        <x:v>打开该页
刷新深链接
有数据/空状态/失败重试
验证该页模块 ASSET 的每个按钮、筛选、表单与弹窗
窄屏与主题切换</x:v>
      </x:c>
      <x:c r="H405" s="10" t="str">
        <x:v>页面身份正确且有内容
无控制台错误/构建遮罩
 loading/empty/error 不混淆
状态持久化且布局可操作</x:v>
      </x:c>
      <x:c r="I405" s="10" t="str">
        <x:v>截图或录屏、脱敏请求响应、对象 ID、时间及相关日志</x:v>
      </x:c>
      <x:c r="J405" s="11" t="str">
        <x:v>未执行</x:v>
      </x:c>
      <x:c r="K405" s="11" t="str"/>
      <x:c r="L405" s="11" t="str"/>
      <x:c r="M405" s="11" t="str"/>
      <x:c r="N405" s="12"/>
      <x:c r="O405" s="11" t="str"/>
    </x:row>
    <x:row r="406" ht="66" hidden="0" customHeight="1">
      <x:c r="A406" s="10" t="str">
        <x:v>PAGE-008</x:v>
      </x:c>
      <x:c r="B406" s="10" t="str">
        <x:v>08 全站功能</x:v>
      </x:c>
      <x:c r="C406" s="10" t="str">
        <x:v>全部页面通用验收</x:v>
      </x:c>
      <x:c r="D406" s="10" t="str">
        <x:v>P1</x:v>
      </x:c>
      <x:c r="E406" s="10" t="str">
        <x:v>EvaluationView 页面</x:v>
      </x:c>
      <x:c r="F406" s="10" t="str">
        <x:v>每页均使用有数据、无数据、接口失败三种真实或可控测试状态</x:v>
      </x:c>
      <x:c r="G406" s="10" t="str">
        <x:v>打开该页
刷新深链接
有数据/空状态/失败重试
验证该页模块 EVAL 的每个按钮、筛选、表单与弹窗
窄屏与主题切换</x:v>
      </x:c>
      <x:c r="H406" s="10" t="str">
        <x:v>页面身份正确且有内容
无控制台错误/构建遮罩
 loading/empty/error 不混淆
状态持久化且布局可操作</x:v>
      </x:c>
      <x:c r="I406" s="10" t="str">
        <x:v>截图或录屏、脱敏请求响应、对象 ID、时间及相关日志</x:v>
      </x:c>
      <x:c r="J406" s="11" t="str">
        <x:v>未执行</x:v>
      </x:c>
      <x:c r="K406" s="11" t="str"/>
      <x:c r="L406" s="11" t="str"/>
      <x:c r="M406" s="11" t="str"/>
      <x:c r="N406" s="12"/>
      <x:c r="O406" s="11" t="str"/>
    </x:row>
    <x:row r="407" ht="66" hidden="0" customHeight="1">
      <x:c r="A407" s="10" t="str">
        <x:v>PAGE-009</x:v>
      </x:c>
      <x:c r="B407" s="10" t="str">
        <x:v>08 全站功能</x:v>
      </x:c>
      <x:c r="C407" s="10" t="str">
        <x:v>全部页面通用验收</x:v>
      </x:c>
      <x:c r="D407" s="10" t="str">
        <x:v>P1</x:v>
      </x:c>
      <x:c r="E407" s="10" t="str">
        <x:v>FileLibraryView 页面</x:v>
      </x:c>
      <x:c r="F407" s="10" t="str">
        <x:v>每页均使用有数据、无数据、接口失败三种真实或可控测试状态</x:v>
      </x:c>
      <x:c r="G407" s="10" t="str">
        <x:v>打开该页
刷新深链接
有数据/空状态/失败重试
验证该页模块 LIB 的每个按钮、筛选、表单与弹窗
窄屏与主题切换</x:v>
      </x:c>
      <x:c r="H407" s="10" t="str">
        <x:v>页面身份正确且有内容
无控制台错误/构建遮罩
 loading/empty/error 不混淆
状态持久化且布局可操作</x:v>
      </x:c>
      <x:c r="I407" s="10" t="str">
        <x:v>截图或录屏、脱敏请求响应、对象 ID、时间及相关日志</x:v>
      </x:c>
      <x:c r="J407" s="11" t="str">
        <x:v>未执行</x:v>
      </x:c>
      <x:c r="K407" s="11" t="str"/>
      <x:c r="L407" s="11" t="str"/>
      <x:c r="M407" s="11" t="str"/>
      <x:c r="N407" s="12"/>
      <x:c r="O407" s="11" t="str"/>
    </x:row>
    <x:row r="408" ht="66" hidden="0" customHeight="1">
      <x:c r="A408" s="10" t="str">
        <x:v>PAGE-010</x:v>
      </x:c>
      <x:c r="B408" s="10" t="str">
        <x:v>08 全站功能</x:v>
      </x:c>
      <x:c r="C408" s="10" t="str">
        <x:v>全部页面通用验收</x:v>
      </x:c>
      <x:c r="D408" s="10" t="str">
        <x:v>P1</x:v>
      </x:c>
      <x:c r="E408" s="10" t="str">
        <x:v>OverviewView 页面</x:v>
      </x:c>
      <x:c r="F408" s="10" t="str">
        <x:v>每页均使用有数据、无数据、接口失败三种真实或可控测试状态</x:v>
      </x:c>
      <x:c r="G408" s="10" t="str">
        <x:v>打开该页
刷新深链接
有数据/空状态/失败重试
验证该页模块 PRJ 的每个按钮、筛选、表单与弹窗
窄屏与主题切换</x:v>
      </x:c>
      <x:c r="H408" s="10" t="str">
        <x:v>页面身份正确且有内容
无控制台错误/构建遮罩
 loading/empty/error 不混淆
状态持久化且布局可操作</x:v>
      </x:c>
      <x:c r="I408" s="10" t="str">
        <x:v>截图或录屏、脱敏请求响应、对象 ID、时间及相关日志</x:v>
      </x:c>
      <x:c r="J408" s="11" t="str">
        <x:v>未执行</x:v>
      </x:c>
      <x:c r="K408" s="11" t="str"/>
      <x:c r="L408" s="11" t="str"/>
      <x:c r="M408" s="11" t="str"/>
      <x:c r="N408" s="12"/>
      <x:c r="O408" s="11" t="str"/>
    </x:row>
    <x:row r="409" ht="66" hidden="0" customHeight="1">
      <x:c r="A409" s="10" t="str">
        <x:v>PAGE-011</x:v>
      </x:c>
      <x:c r="B409" s="10" t="str">
        <x:v>08 全站功能</x:v>
      </x:c>
      <x:c r="C409" s="10" t="str">
        <x:v>全部页面通用验收</x:v>
      </x:c>
      <x:c r="D409" s="10" t="str">
        <x:v>P1</x:v>
      </x:c>
      <x:c r="E409" s="10" t="str">
        <x:v>PlanningView 页面</x:v>
      </x:c>
      <x:c r="F409" s="10" t="str">
        <x:v>每页均使用有数据、无数据、接口失败三种真实或可控测试状态</x:v>
      </x:c>
      <x:c r="G409" s="10" t="str">
        <x:v>打开该页
刷新深链接
有数据/空状态/失败重试
验证该页模块 PLAN 的每个按钮、筛选、表单与弹窗
窄屏与主题切换</x:v>
      </x:c>
      <x:c r="H409" s="10" t="str">
        <x:v>页面身份正确且有内容
无控制台错误/构建遮罩
 loading/empty/error 不混淆
状态持久化且布局可操作</x:v>
      </x:c>
      <x:c r="I409" s="10" t="str">
        <x:v>截图或录屏、脱敏请求响应、对象 ID、时间及相关日志</x:v>
      </x:c>
      <x:c r="J409" s="11" t="str">
        <x:v>未执行</x:v>
      </x:c>
      <x:c r="K409" s="11" t="str"/>
      <x:c r="L409" s="11" t="str"/>
      <x:c r="M409" s="11" t="str"/>
      <x:c r="N409" s="12"/>
      <x:c r="O409" s="11" t="str"/>
    </x:row>
    <x:row r="410" ht="66" hidden="0" customHeight="1">
      <x:c r="A410" s="10" t="str">
        <x:v>PAGE-012</x:v>
      </x:c>
      <x:c r="B410" s="10" t="str">
        <x:v>08 全站功能</x:v>
      </x:c>
      <x:c r="C410" s="10" t="str">
        <x:v>全部页面通用验收</x:v>
      </x:c>
      <x:c r="D410" s="10" t="str">
        <x:v>P1</x:v>
      </x:c>
      <x:c r="E410" s="10" t="str">
        <x:v>PlaygroundView 页面</x:v>
      </x:c>
      <x:c r="F410" s="10" t="str">
        <x:v>每页均使用有数据、无数据、接口失败三种真实或可控测试状态</x:v>
      </x:c>
      <x:c r="G410" s="10" t="str">
        <x:v>打开该页
刷新深链接
有数据/空状态/失败重试
验证该页模块 RAG 的每个按钮、筛选、表单与弹窗
窄屏与主题切换</x:v>
      </x:c>
      <x:c r="H410" s="10" t="str">
        <x:v>页面身份正确且有内容
无控制台错误/构建遮罩
 loading/empty/error 不混淆
状态持久化且布局可操作</x:v>
      </x:c>
      <x:c r="I410" s="10" t="str">
        <x:v>截图或录屏、脱敏请求响应、对象 ID、时间及相关日志</x:v>
      </x:c>
      <x:c r="J410" s="11" t="str">
        <x:v>未执行</x:v>
      </x:c>
      <x:c r="K410" s="11" t="str"/>
      <x:c r="L410" s="11" t="str"/>
      <x:c r="M410" s="11" t="str"/>
      <x:c r="N410" s="12"/>
      <x:c r="O410" s="11" t="str"/>
    </x:row>
    <x:row r="411" ht="66" hidden="0" customHeight="1">
      <x:c r="A411" s="10" t="str">
        <x:v>PAGE-013</x:v>
      </x:c>
      <x:c r="B411" s="10" t="str">
        <x:v>08 全站功能</x:v>
      </x:c>
      <x:c r="C411" s="10" t="str">
        <x:v>全部页面通用验收</x:v>
      </x:c>
      <x:c r="D411" s="10" t="str">
        <x:v>P1</x:v>
      </x:c>
      <x:c r="E411" s="10" t="str">
        <x:v>ReportsView 页面</x:v>
      </x:c>
      <x:c r="F411" s="10" t="str">
        <x:v>每页均使用有数据、无数据、接口失败三种真实或可控测试状态</x:v>
      </x:c>
      <x:c r="G411" s="10" t="str">
        <x:v>打开该页
刷新深链接
有数据/空状态/失败重试
验证该页模块 REPORT 的每个按钮、筛选、表单与弹窗
窄屏与主题切换</x:v>
      </x:c>
      <x:c r="H411" s="10" t="str">
        <x:v>页面身份正确且有内容
无控制台错误/构建遮罩
 loading/empty/error 不混淆
状态持久化且布局可操作</x:v>
      </x:c>
      <x:c r="I411" s="10" t="str">
        <x:v>截图或录屏、脱敏请求响应、对象 ID、时间及相关日志</x:v>
      </x:c>
      <x:c r="J411" s="11" t="str">
        <x:v>未执行</x:v>
      </x:c>
      <x:c r="K411" s="11" t="str"/>
      <x:c r="L411" s="11" t="str"/>
      <x:c r="M411" s="11" t="str"/>
      <x:c r="N411" s="12"/>
      <x:c r="O411" s="11" t="str"/>
    </x:row>
    <x:row r="412" ht="66" hidden="0" customHeight="1">
      <x:c r="A412" s="10" t="str">
        <x:v>PAGE-014</x:v>
      </x:c>
      <x:c r="B412" s="10" t="str">
        <x:v>08 全站功能</x:v>
      </x:c>
      <x:c r="C412" s="10" t="str">
        <x:v>全部页面通用验收</x:v>
      </x:c>
      <x:c r="D412" s="10" t="str">
        <x:v>P1</x:v>
      </x:c>
      <x:c r="E412" s="10" t="str">
        <x:v>ReviewView 页面</x:v>
      </x:c>
      <x:c r="F412" s="10" t="str">
        <x:v>每页均使用有数据、无数据、接口失败三种真实或可控测试状态</x:v>
      </x:c>
      <x:c r="G412" s="10" t="str">
        <x:v>打开该页
刷新深链接
有数据/空状态/失败重试
验证该页模块 REPORT 的每个按钮、筛选、表单与弹窗
窄屏与主题切换</x:v>
      </x:c>
      <x:c r="H412" s="10" t="str">
        <x:v>页面身份正确且有内容
无控制台错误/构建遮罩
 loading/empty/error 不混淆
状态持久化且布局可操作</x:v>
      </x:c>
      <x:c r="I412" s="10" t="str">
        <x:v>截图或录屏、脱敏请求响应、对象 ID、时间及相关日志</x:v>
      </x:c>
      <x:c r="J412" s="11" t="str">
        <x:v>未执行</x:v>
      </x:c>
      <x:c r="K412" s="11" t="str"/>
      <x:c r="L412" s="11" t="str"/>
      <x:c r="M412" s="11" t="str"/>
      <x:c r="N412" s="12"/>
      <x:c r="O412" s="11" t="str"/>
    </x:row>
    <x:row r="413" ht="66" hidden="0" customHeight="1">
      <x:c r="A413" s="10" t="str">
        <x:v>PAGE-015</x:v>
      </x:c>
      <x:c r="B413" s="10" t="str">
        <x:v>08 全站功能</x:v>
      </x:c>
      <x:c r="C413" s="10" t="str">
        <x:v>全部页面通用验收</x:v>
      </x:c>
      <x:c r="D413" s="10" t="str">
        <x:v>P1</x:v>
      </x:c>
      <x:c r="E413" s="10" t="str">
        <x:v>RunDetailView 页面</x:v>
      </x:c>
      <x:c r="F413" s="10" t="str">
        <x:v>每页均使用有数据、无数据、接口失败三种真实或可控测试状态</x:v>
      </x:c>
      <x:c r="G413" s="10" t="str">
        <x:v>打开该页
刷新深链接
有数据/空状态/失败重试
验证该页模块 RUN 的每个按钮、筛选、表单与弹窗
窄屏与主题切换</x:v>
      </x:c>
      <x:c r="H413" s="10" t="str">
        <x:v>页面身份正确且有内容
无控制台错误/构建遮罩
 loading/empty/error 不混淆
状态持久化且布局可操作</x:v>
      </x:c>
      <x:c r="I413" s="10" t="str">
        <x:v>截图或录屏、脱敏请求响应、对象 ID、时间及相关日志</x:v>
      </x:c>
      <x:c r="J413" s="11" t="str">
        <x:v>未执行</x:v>
      </x:c>
      <x:c r="K413" s="11" t="str"/>
      <x:c r="L413" s="11" t="str"/>
      <x:c r="M413" s="11" t="str"/>
      <x:c r="N413" s="12"/>
      <x:c r="O413" s="11" t="str"/>
    </x:row>
    <x:row r="414" ht="66" hidden="0" customHeight="1">
      <x:c r="A414" s="10" t="str">
        <x:v>PAGE-016</x:v>
      </x:c>
      <x:c r="B414" s="10" t="str">
        <x:v>08 全站功能</x:v>
      </x:c>
      <x:c r="C414" s="10" t="str">
        <x:v>全部页面通用验收</x:v>
      </x:c>
      <x:c r="D414" s="10" t="str">
        <x:v>P1</x:v>
      </x:c>
      <x:c r="E414" s="10" t="str">
        <x:v>RunsView 页面</x:v>
      </x:c>
      <x:c r="F414" s="10" t="str">
        <x:v>每页均使用有数据、无数据、接口失败三种真实或可控测试状态</x:v>
      </x:c>
      <x:c r="G414" s="10" t="str">
        <x:v>打开该页
刷新深链接
有数据/空状态/失败重试
验证该页模块 RUN 的每个按钮、筛选、表单与弹窗
窄屏与主题切换</x:v>
      </x:c>
      <x:c r="H414" s="10" t="str">
        <x:v>页面身份正确且有内容
无控制台错误/构建遮罩
 loading/empty/error 不混淆
状态持久化且布局可操作</x:v>
      </x:c>
      <x:c r="I414" s="10" t="str">
        <x:v>截图或录屏、脱敏请求响应、对象 ID、时间及相关日志</x:v>
      </x:c>
      <x:c r="J414" s="11" t="str">
        <x:v>未执行</x:v>
      </x:c>
      <x:c r="K414" s="11" t="str"/>
      <x:c r="L414" s="11" t="str"/>
      <x:c r="M414" s="11" t="str"/>
      <x:c r="N414" s="12"/>
      <x:c r="O414" s="11" t="str"/>
    </x:row>
    <x:row r="415" ht="66" hidden="0" customHeight="1">
      <x:c r="A415" s="10" t="str">
        <x:v>PAGE-017</x:v>
      </x:c>
      <x:c r="B415" s="10" t="str">
        <x:v>08 全站功能</x:v>
      </x:c>
      <x:c r="C415" s="10" t="str">
        <x:v>全部页面通用验收</x:v>
      </x:c>
      <x:c r="D415" s="10" t="str">
        <x:v>P1</x:v>
      </x:c>
      <x:c r="E415" s="10" t="str">
        <x:v>GeneralView 页面</x:v>
      </x:c>
      <x:c r="F415" s="10" t="str">
        <x:v>每页均使用有数据、无数据、接口失败三种真实或可控测试状态</x:v>
      </x:c>
      <x:c r="G415" s="10" t="str">
        <x:v>打开该页
刷新深链接
有数据/空状态/失败重试
验证该页模块 WS 的每个按钮、筛选、表单与弹窗
窄屏与主题切换</x:v>
      </x:c>
      <x:c r="H415" s="10" t="str">
        <x:v>页面身份正确且有内容
无控制台错误/构建遮罩
 loading/empty/error 不混淆
状态持久化且布局可操作</x:v>
      </x:c>
      <x:c r="I415" s="10" t="str">
        <x:v>截图或录屏、脱敏请求响应、对象 ID、时间及相关日志</x:v>
      </x:c>
      <x:c r="J415" s="11" t="str">
        <x:v>未执行</x:v>
      </x:c>
      <x:c r="K415" s="11" t="str"/>
      <x:c r="L415" s="11" t="str"/>
      <x:c r="M415" s="11" t="str"/>
      <x:c r="N415" s="12"/>
      <x:c r="O415" s="11" t="str"/>
    </x:row>
    <x:row r="416" ht="66" hidden="0" customHeight="1">
      <x:c r="A416" s="10" t="str">
        <x:v>PAGE-018</x:v>
      </x:c>
      <x:c r="B416" s="10" t="str">
        <x:v>08 全站功能</x:v>
      </x:c>
      <x:c r="C416" s="10" t="str">
        <x:v>全部页面通用验收</x:v>
      </x:c>
      <x:c r="D416" s="10" t="str">
        <x:v>P1</x:v>
      </x:c>
      <x:c r="E416" s="10" t="str">
        <x:v>ModelsView 页面</x:v>
      </x:c>
      <x:c r="F416" s="10" t="str">
        <x:v>每页均使用有数据、无数据、接口失败三种真实或可控测试状态</x:v>
      </x:c>
      <x:c r="G416" s="10" t="str">
        <x:v>打开该页
刷新深链接
有数据/空状态/失败重试
验证该页模块 MODEL 的每个按钮、筛选、表单与弹窗
窄屏与主题切换</x:v>
      </x:c>
      <x:c r="H416" s="10" t="str">
        <x:v>页面身份正确且有内容
无控制台错误/构建遮罩
 loading/empty/error 不混淆
状态持久化且布局可操作</x:v>
      </x:c>
      <x:c r="I416" s="10" t="str">
        <x:v>截图或录屏、脱敏请求响应、对象 ID、时间及相关日志</x:v>
      </x:c>
      <x:c r="J416" s="11" t="str">
        <x:v>未执行</x:v>
      </x:c>
      <x:c r="K416" s="11" t="str"/>
      <x:c r="L416" s="11" t="str"/>
      <x:c r="M416" s="11" t="str"/>
      <x:c r="N416" s="12"/>
      <x:c r="O416" s="11" t="str"/>
    </x:row>
    <x:row r="417" ht="66" hidden="0" customHeight="1">
      <x:c r="A417" s="10" t="str">
        <x:v>PAGE-019</x:v>
      </x:c>
      <x:c r="B417" s="10" t="str">
        <x:v>08 全站功能</x:v>
      </x:c>
      <x:c r="C417" s="10" t="str">
        <x:v>全部页面通用验收</x:v>
      </x:c>
      <x:c r="D417" s="10" t="str">
        <x:v>P1</x:v>
      </x:c>
      <x:c r="E417" s="10" t="str">
        <x:v>SecurityView 页面</x:v>
      </x:c>
      <x:c r="F417" s="10" t="str">
        <x:v>每页均使用有数据、无数据、接口失败三种真实或可控测试状态</x:v>
      </x:c>
      <x:c r="G417" s="10" t="str">
        <x:v>打开该页
刷新深链接
有数据/空状态/失败重试
验证该页模块 SEC 的每个按钮、筛选、表单与弹窗
窄屏与主题切换</x:v>
      </x:c>
      <x:c r="H417" s="10" t="str">
        <x:v>页面身份正确且有内容
无控制台错误/构建遮罩
 loading/empty/error 不混淆
状态持久化且布局可操作</x:v>
      </x:c>
      <x:c r="I417" s="10" t="str">
        <x:v>截图或录屏、脱敏请求响应、对象 ID、时间及相关日志</x:v>
      </x:c>
      <x:c r="J417" s="11" t="str">
        <x:v>未执行</x:v>
      </x:c>
      <x:c r="K417" s="11" t="str"/>
      <x:c r="L417" s="11" t="str"/>
      <x:c r="M417" s="11" t="str"/>
      <x:c r="N417" s="12"/>
      <x:c r="O417" s="11" t="str"/>
    </x:row>
    <x:row r="418" ht="66" hidden="0" customHeight="1">
      <x:c r="A418" s="10" t="str">
        <x:v>PAGE-020</x:v>
      </x:c>
      <x:c r="B418" s="10" t="str">
        <x:v>08 全站功能</x:v>
      </x:c>
      <x:c r="C418" s="10" t="str">
        <x:v>全部页面通用验收</x:v>
      </x:c>
      <x:c r="D418" s="10" t="str">
        <x:v>P1</x:v>
      </x:c>
      <x:c r="E418" s="10" t="str">
        <x:v>ToolsView 页面</x:v>
      </x:c>
      <x:c r="F418" s="10" t="str">
        <x:v>每页均使用有数据、无数据、接口失败三种真实或可控测试状态</x:v>
      </x:c>
      <x:c r="G418" s="10" t="str">
        <x:v>打开该页
刷新深链接
有数据/空状态/失败重试
验证该页模块 TOOL 的每个按钮、筛选、表单与弹窗
窄屏与主题切换</x:v>
      </x:c>
      <x:c r="H418" s="10" t="str">
        <x:v>页面身份正确且有内容
无控制台错误/构建遮罩
 loading/empty/error 不混淆
状态持久化且布局可操作</x:v>
      </x:c>
      <x:c r="I418" s="10" t="str">
        <x:v>截图或录屏、脱敏请求响应、对象 ID、时间及相关日志</x:v>
      </x:c>
      <x:c r="J418" s="11" t="str">
        <x:v>未执行</x:v>
      </x:c>
      <x:c r="K418" s="11" t="str"/>
      <x:c r="L418" s="11" t="str"/>
      <x:c r="M418" s="11" t="str"/>
      <x:c r="N418" s="12"/>
      <x:c r="O418" s="11" t="str"/>
    </x:row>
    <x:row r="419" ht="66" hidden="0" customHeight="1">
      <x:c r="A419" s="10" t="str">
        <x:v>PAGE-021</x:v>
      </x:c>
      <x:c r="B419" s="10" t="str">
        <x:v>08 全站功能</x:v>
      </x:c>
      <x:c r="C419" s="10" t="str">
        <x:v>全部页面通用验收</x:v>
      </x:c>
      <x:c r="D419" s="10" t="str">
        <x:v>P1</x:v>
      </x:c>
      <x:c r="E419" s="10" t="str">
        <x:v>UserSettingsView 页面</x:v>
      </x:c>
      <x:c r="F419" s="10" t="str">
        <x:v>每页均使用有数据、无数据、接口失败三种真实或可控测试状态</x:v>
      </x:c>
      <x:c r="G419" s="10" t="str">
        <x:v>打开该页
刷新深链接
有数据/空状态/失败重试
验证该页模块 STAT 的每个按钮、筛选、表单与弹窗
窄屏与主题切换</x:v>
      </x:c>
      <x:c r="H419" s="10" t="str">
        <x:v>页面身份正确且有内容
无控制台错误/构建遮罩
 loading/empty/error 不混淆
状态持久化且布局可操作</x:v>
      </x:c>
      <x:c r="I419" s="10" t="str">
        <x:v>截图或录屏、脱敏请求响应、对象 ID、时间及相关日志</x:v>
      </x:c>
      <x:c r="J419" s="11" t="str">
        <x:v>未执行</x:v>
      </x:c>
      <x:c r="K419" s="11" t="str"/>
      <x:c r="L419" s="11" t="str"/>
      <x:c r="M419" s="11" t="str"/>
      <x:c r="N419" s="12"/>
      <x:c r="O419" s="11" t="str"/>
    </x:row>
    <x:row r="420" ht="66" hidden="0" customHeight="1">
      <x:c r="A420" s="10" t="str">
        <x:v>PAGE-022</x:v>
      </x:c>
      <x:c r="B420" s="10" t="str">
        <x:v>08 全站功能</x:v>
      </x:c>
      <x:c r="C420" s="10" t="str">
        <x:v>全部页面通用验收</x:v>
      </x:c>
      <x:c r="D420" s="10" t="str">
        <x:v>P1</x:v>
      </x:c>
      <x:c r="E420" s="10" t="str">
        <x:v>WebSearchView 页面</x:v>
      </x:c>
      <x:c r="F420" s="10" t="str">
        <x:v>每页均使用有数据、无数据、接口失败三种真实或可控测试状态</x:v>
      </x:c>
      <x:c r="G420" s="10" t="str">
        <x:v>打开该页
刷新深链接
有数据/空状态/失败重试
验证该页模块 WEB 的每个按钮、筛选、表单与弹窗
窄屏与主题切换</x:v>
      </x:c>
      <x:c r="H420" s="10" t="str">
        <x:v>页面身份正确且有内容
无控制台错误/构建遮罩
 loading/empty/error 不混淆
状态持久化且布局可操作</x:v>
      </x:c>
      <x:c r="I420" s="10" t="str">
        <x:v>截图或录屏、脱敏请求响应、对象 ID、时间及相关日志</x:v>
      </x:c>
      <x:c r="J420" s="11" t="str">
        <x:v>未执行</x:v>
      </x:c>
      <x:c r="K420" s="11" t="str"/>
      <x:c r="L420" s="11" t="str"/>
      <x:c r="M420" s="11" t="str"/>
      <x:c r="N420" s="12"/>
      <x:c r="O420" s="11" t="str"/>
    </x:row>
    <x:row r="421" ht="66" hidden="0" customHeight="1">
      <x:c r="A421" s="10" t="str">
        <x:v>PAGE-023</x:v>
      </x:c>
      <x:c r="B421" s="10" t="str">
        <x:v>08 全站功能</x:v>
      </x:c>
      <x:c r="C421" s="10" t="str">
        <x:v>全部页面通用验收</x:v>
      </x:c>
      <x:c r="D421" s="10" t="str">
        <x:v>P1</x:v>
      </x:c>
      <x:c r="E421" s="10" t="str">
        <x:v>DashboardView 页面</x:v>
      </x:c>
      <x:c r="F421" s="10" t="str">
        <x:v>每页均使用有数据、无数据、接口失败三种真实或可控测试状态</x:v>
      </x:c>
      <x:c r="G421" s="10" t="str">
        <x:v>打开该页
刷新深链接
有数据/空状态/失败重试
验证该页模块 STAT 的每个按钮、筛选、表单与弹窗
窄屏与主题切换</x:v>
      </x:c>
      <x:c r="H421" s="10" t="str">
        <x:v>页面身份正确且有内容
无控制台错误/构建遮罩
 loading/empty/error 不混淆
状态持久化且布局可操作</x:v>
      </x:c>
      <x:c r="I421" s="10" t="str">
        <x:v>截图或录屏、脱敏请求响应、对象 ID、时间及相关日志</x:v>
      </x:c>
      <x:c r="J421" s="11" t="str">
        <x:v>未执行</x:v>
      </x:c>
      <x:c r="K421" s="11" t="str"/>
      <x:c r="L421" s="11" t="str"/>
      <x:c r="M421" s="11" t="str"/>
      <x:c r="N421" s="12"/>
      <x:c r="O421" s="11" t="str"/>
    </x:row>
    <x:row r="422" ht="66" hidden="0" customHeight="1">
      <x:c r="A422" s="10" t="str">
        <x:v>PAGE-024</x:v>
      </x:c>
      <x:c r="B422" s="10" t="str">
        <x:v>08 全站功能</x:v>
      </x:c>
      <x:c r="C422" s="10" t="str">
        <x:v>全部页面通用验收</x:v>
      </x:c>
      <x:c r="D422" s="10" t="str">
        <x:v>P1</x:v>
      </x:c>
      <x:c r="E422" s="10" t="str">
        <x:v>MembersView 页面</x:v>
      </x:c>
      <x:c r="F422" s="10" t="str">
        <x:v>每页均使用有数据、无数据、接口失败三种真实或可控测试状态</x:v>
      </x:c>
      <x:c r="G422" s="10" t="str">
        <x:v>打开该页
刷新深链接
有数据/空状态/失败重试
验证该页模块 WS 的每个按钮、筛选、表单与弹窗
窄屏与主题切换</x:v>
      </x:c>
      <x:c r="H422" s="10" t="str">
        <x:v>页面身份正确且有内容
无控制台错误/构建遮罩
 loading/empty/error 不混淆
状态持久化且布局可操作</x:v>
      </x:c>
      <x:c r="I422" s="10" t="str">
        <x:v>截图或录屏、脱敏请求响应、对象 ID、时间及相关日志</x:v>
      </x:c>
      <x:c r="J422" s="11" t="str">
        <x:v>未执行</x:v>
      </x:c>
      <x:c r="K422" s="11" t="str"/>
      <x:c r="L422" s="11" t="str"/>
      <x:c r="M422" s="11" t="str"/>
      <x:c r="N422" s="12"/>
      <x:c r="O422" s="11" t="str"/>
    </x:row>
    <x:row r="423" ht="66" hidden="0" customHeight="1">
      <x:c r="A423" s="10" t="str">
        <x:v>PAGE-025</x:v>
      </x:c>
      <x:c r="B423" s="10" t="str">
        <x:v>08 全站功能</x:v>
      </x:c>
      <x:c r="C423" s="10" t="str">
        <x:v>全部页面通用验收</x:v>
      </x:c>
      <x:c r="D423" s="10" t="str">
        <x:v>P1</x:v>
      </x:c>
      <x:c r="E423" s="10" t="str">
        <x:v>NotificationsView 页面</x:v>
      </x:c>
      <x:c r="F423" s="10" t="str">
        <x:v>每页均使用有数据、无数据、接口失败三种真实或可控测试状态</x:v>
      </x:c>
      <x:c r="G423" s="10" t="str">
        <x:v>打开该页
刷新深链接
有数据/空状态/失败重试
验证该页模块 STAT 的每个按钮、筛选、表单与弹窗
窄屏与主题切换</x:v>
      </x:c>
      <x:c r="H423" s="10" t="str">
        <x:v>页面身份正确且有内容
无控制台错误/构建遮罩
 loading/empty/error 不混淆
状态持久化且布局可操作</x:v>
      </x:c>
      <x:c r="I423" s="10" t="str">
        <x:v>截图或录屏、脱敏请求响应、对象 ID、时间及相关日志</x:v>
      </x:c>
      <x:c r="J423" s="11" t="str">
        <x:v>未执行</x:v>
      </x:c>
      <x:c r="K423" s="11" t="str"/>
      <x:c r="L423" s="11" t="str"/>
      <x:c r="M423" s="11" t="str"/>
      <x:c r="N423" s="12"/>
      <x:c r="O423" s="11" t="str"/>
    </x:row>
    <x:row r="424" ht="66" hidden="0" customHeight="1">
      <x:c r="A424" s="10" t="str">
        <x:v>PAGE-026</x:v>
      </x:c>
      <x:c r="B424" s="10" t="str">
        <x:v>08 全站功能</x:v>
      </x:c>
      <x:c r="C424" s="10" t="str">
        <x:v>全部页面通用验收</x:v>
      </x:c>
      <x:c r="D424" s="10" t="str">
        <x:v>P1</x:v>
      </x:c>
      <x:c r="E424" s="10" t="str">
        <x:v>ProjectsView 页面</x:v>
      </x:c>
      <x:c r="F424" s="10" t="str">
        <x:v>每页均使用有数据、无数据、接口失败三种真实或可控测试状态</x:v>
      </x:c>
      <x:c r="G424" s="10" t="str">
        <x:v>打开该页
刷新深链接
有数据/空状态/失败重试
验证该页模块 PRJ 的每个按钮、筛选、表单与弹窗
窄屏与主题切换</x:v>
      </x:c>
      <x:c r="H424" s="10" t="str">
        <x:v>页面身份正确且有内容
无控制台错误/构建遮罩
 loading/empty/error 不混淆
状态持久化且布局可操作</x:v>
      </x:c>
      <x:c r="I424" s="10" t="str">
        <x:v>截图或录屏、脱敏请求响应、对象 ID、时间及相关日志</x:v>
      </x:c>
      <x:c r="J424" s="11" t="str">
        <x:v>未执行</x:v>
      </x:c>
      <x:c r="K424" s="11" t="str"/>
      <x:c r="L424" s="11" t="str"/>
      <x:c r="M424" s="11" t="str"/>
      <x:c r="N424" s="12"/>
      <x:c r="O424" s="11" t="str"/>
    </x:row>
  </x:sheetData>
  <x:conditionalFormatting sqref="J6:J424">
    <x:cfRule type="containsText" dxfId="0" priority="1" operator="containsText" text="失败"/>
    <x:cfRule type="containsText" dxfId="1" priority="2" operator="containsText" text="阻塞"/>
  </x:conditionalFormatting>
  <x:conditionalFormatting sqref="D6:D424">
    <x:cfRule type="containsText" dxfId="2" priority="3" operator="containsText" text="P0"/>
  </x:conditionalFormatting>
  <x:dataValidations count="1">
    <x:dataValidation type="list" sqref="J6:J424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1af708b64044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5" hidden="0" customWidth="1"/>
    <x:col min="4" max="4" width="9" hidden="0" customWidth="1"/>
    <x:col min="5" max="5" width="34" hidden="0" customWidth="1"/>
    <x:col min="6" max="6" width="48" hidden="0" customWidth="1"/>
    <x:col min="7" max="7" width="84" hidden="0" customWidth="1"/>
    <x:col min="8" max="8" width="84" hidden="0" customWidth="1"/>
    <x:col min="9" max="9" width="40" hidden="0" customWidth="1"/>
    <x:col min="10" max="10" width="14" hidden="0" customWidth="1"/>
    <x:col min="11" max="11" width="64" hidden="0" customWidth="1"/>
    <x:col min="12" max="12" width="24" hidden="0" customWidth="1"/>
    <x:col min="13" max="13" width="16" hidden="0" customWidth="1"/>
    <x:col min="14" max="14" width="22" hidden="0" customWidth="1"/>
    <x:col min="15" max="15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6" customHeight="1">
      <x:c r="A2" s="3" t="str">
        <x:v>全部接口验收记录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黄色列填写结果；每项须有实际结果与证据。状态不适用需在反馈报告中由上线负责人说明范围。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8" t="str">
        <x:v>用例编号</x:v>
      </x:c>
      <x:c r="B5" s="8" t="str">
        <x:v>服务</x:v>
      </x:c>
      <x:c r="C5" s="8" t="str">
        <x:v>接口动作</x:v>
      </x:c>
      <x:c r="D5" s="8" t="str">
        <x:v>优先级</x:v>
      </x:c>
      <x:c r="E5" s="8" t="str">
        <x:v>方法与路径</x:v>
      </x:c>
      <x:c r="F5" s="8" t="str">
        <x:v>身份 / 权限</x:v>
      </x:c>
      <x:c r="G5" s="8" t="str">
        <x:v>四个子项操作</x:v>
      </x:c>
      <x:c r="H5" s="8" t="str">
        <x:v>预期结果</x:v>
      </x:c>
      <x:c r="I5" s="8" t="str">
        <x:v>源码位置</x:v>
      </x:c>
      <x:c r="J5" s="8" t="str">
        <x:v>结果状态</x:v>
      </x:c>
      <x:c r="K5" s="8" t="str">
        <x:v>正常 / 鉴权 / 越权 / 参数结果及证据</x:v>
      </x:c>
      <x:c r="L5" s="8" t="str">
        <x:v>缺陷编号</x:v>
      </x:c>
      <x:c r="M5" s="8" t="str">
        <x:v>测试人</x:v>
      </x:c>
      <x:c r="N5" s="8" t="str">
        <x:v>测试时间</x:v>
      </x:c>
      <x:c r="O5" s="8" t="str">
        <x:v>备注</x:v>
      </x:c>
    </x:row>
    <x:row r="6" ht="52.79999923706055" hidden="0" customHeight="1">
      <x:c r="A6" s="10" t="str">
        <x:v>API-B-001</x:v>
      </x:c>
      <x:c r="B6" s="10" t="str">
        <x:v>Java</x:v>
      </x:c>
      <x:c r="C6" s="10" t="str">
        <x:v>list</x:v>
      </x:c>
      <x:c r="D6" s="10" t="str">
        <x:v>P1</x:v>
      </x:c>
      <x:c r="E6" s="10" t="str">
        <x:v>GET /workspaces/{workspaceId}/projects/{projectId}/action-items</x:v>
      </x:c>
      <x:c r="F6" s="10" t="str">
        <x:v>Cookie 会话；写入需要有效 CSRF</x:v>
      </x:c>
      <x:c r="G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6" s="10" t="str">
        <x:v>apps/backend/src/main/java/com/cuupe/backend/modules/actionitem/controller/ActionItemController.java:24</x:v>
      </x:c>
      <x:c r="J6" s="11" t="str">
        <x:v>未执行</x:v>
      </x:c>
      <x:c r="K6" s="11" t="str"/>
      <x:c r="L6" s="11" t="str"/>
      <x:c r="M6" s="11" t="str"/>
      <x:c r="N6" s="12"/>
      <x:c r="O6" s="11" t="str">
        <x:v>本行实际结果分开填写正常、鉴权、越权/不存在、参数四个子结果；任一必需子项未验证不能填通过</x:v>
      </x:c>
    </x:row>
    <x:row r="7" ht="52.79999923706055" hidden="0" customHeight="1">
      <x:c r="A7" s="10" t="str">
        <x:v>API-B-002</x:v>
      </x:c>
      <x:c r="B7" s="10" t="str">
        <x:v>Java</x:v>
      </x:c>
      <x:c r="C7" s="10" t="str">
        <x:v>create</x:v>
      </x:c>
      <x:c r="D7" s="10" t="str">
        <x:v>P1</x:v>
      </x:c>
      <x:c r="E7" s="10" t="str">
        <x:v>POST /workspaces/{workspaceId}/projects/{projectId}/action-items</x:v>
      </x:c>
      <x:c r="F7" s="10" t="str">
        <x:v>Cookie 会话；写入需要有效 CSRF</x:v>
      </x:c>
      <x:c r="G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7" s="10" t="str">
        <x:v>apps/backend/src/main/java/com/cuupe/backend/modules/actionitem/controller/ActionItemController.java:26</x:v>
      </x:c>
      <x:c r="J7" s="11" t="str">
        <x:v>未执行</x:v>
      </x:c>
      <x:c r="K7" s="11" t="str"/>
      <x:c r="L7" s="11" t="str"/>
      <x:c r="M7" s="11" t="str"/>
      <x:c r="N7" s="12"/>
      <x:c r="O7" s="11" t="str">
        <x:v>本行实际结果分开填写正常、鉴权、越权/不存在、参数四个子结果；任一必需子项未验证不能填通过</x:v>
      </x:c>
    </x:row>
    <x:row r="8" ht="52.79999923706055" hidden="0" customHeight="1">
      <x:c r="A8" s="10" t="str">
        <x:v>API-B-003</x:v>
      </x:c>
      <x:c r="B8" s="10" t="str">
        <x:v>Java</x:v>
      </x:c>
      <x:c r="C8" s="10" t="str">
        <x:v>update</x:v>
      </x:c>
      <x:c r="D8" s="10" t="str">
        <x:v>P1</x:v>
      </x:c>
      <x:c r="E8" s="10" t="str">
        <x:v>PATCH /workspaces/{workspaceId}/projects/{projectId}/action-items/{id}</x:v>
      </x:c>
      <x:c r="F8" s="10" t="str">
        <x:v>Cookie 会话；写入需要有效 CSRF</x:v>
      </x:c>
      <x:c r="G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8" s="10" t="str">
        <x:v>apps/backend/src/main/java/com/cuupe/backend/modules/actionitem/controller/ActionItemController.java:38</x:v>
      </x:c>
      <x:c r="J8" s="11" t="str">
        <x:v>未执行</x:v>
      </x:c>
      <x:c r="K8" s="11" t="str"/>
      <x:c r="L8" s="11" t="str"/>
      <x:c r="M8" s="11" t="str"/>
      <x:c r="N8" s="12"/>
      <x:c r="O8" s="11" t="str">
        <x:v>本行实际结果分开填写正常、鉴权、越权/不存在、参数四个子结果；任一必需子项未验证不能填通过</x:v>
      </x:c>
    </x:row>
    <x:row r="9" ht="52.79999923706055" hidden="0" customHeight="1">
      <x:c r="A9" s="10" t="str">
        <x:v>API-B-004</x:v>
      </x:c>
      <x:c r="B9" s="10" t="str">
        <x:v>Java</x:v>
      </x:c>
      <x:c r="C9" s="10" t="str">
        <x:v>sendMessage</x:v>
      </x:c>
      <x:c r="D9" s="10" t="str">
        <x:v>P0</x:v>
      </x:c>
      <x:c r="E9" s="10" t="str">
        <x:v>POST /workspaces/{workspaceId}/projects/{projectId}/agent/messages</x:v>
      </x:c>
      <x:c r="F9" s="10" t="str">
        <x:v>Cookie 会话；写入需要有效 CSRF</x:v>
      </x:c>
      <x:c r="G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9" s="10" t="str">
        <x:v>apps/backend/src/main/java/com/cuupe/backend/modules/agent/controller/AgentController.java:44</x:v>
      </x:c>
      <x:c r="J9" s="11" t="str">
        <x:v>未执行</x:v>
      </x:c>
      <x:c r="K9" s="11" t="str"/>
      <x:c r="L9" s="11" t="str"/>
      <x:c r="M9" s="11" t="str"/>
      <x:c r="N9" s="12"/>
      <x:c r="O9" s="11" t="str">
        <x:v>本行实际结果分开填写正常、鉴权、越权/不存在、参数四个子结果；任一必需子项未验证不能填通过</x:v>
      </x:c>
    </x:row>
    <x:row r="10" ht="52.79999923706055" hidden="0" customHeight="1">
      <x:c r="A10" s="10" t="str">
        <x:v>API-B-005</x:v>
      </x:c>
      <x:c r="B10" s="10" t="str">
        <x:v>Java</x:v>
      </x:c>
      <x:c r="C10" s="10" t="str">
        <x:v>threads</x:v>
      </x:c>
      <x:c r="D10" s="10" t="str">
        <x:v>P0</x:v>
      </x:c>
      <x:c r="E10" s="10" t="str">
        <x:v>GET /workspaces/{workspaceId}/projects/{projectId}/agent/threads</x:v>
      </x:c>
      <x:c r="F10" s="10" t="str">
        <x:v>Cookie 会话；写入需要有效 CSRF</x:v>
      </x:c>
      <x:c r="G1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0" s="10" t="str">
        <x:v>apps/backend/src/main/java/com/cuupe/backend/modules/agent/controller/AgentController.java:57</x:v>
      </x:c>
      <x:c r="J10" s="11" t="str">
        <x:v>未执行</x:v>
      </x:c>
      <x:c r="K10" s="11" t="str"/>
      <x:c r="L10" s="11" t="str"/>
      <x:c r="M10" s="11" t="str"/>
      <x:c r="N10" s="12"/>
      <x:c r="O10" s="11" t="str">
        <x:v>本行实际结果分开填写正常、鉴权、越权/不存在、参数四个子结果；任一必需子项未验证不能填通过</x:v>
      </x:c>
    </x:row>
    <x:row r="11" ht="52.79999923706055" hidden="0" customHeight="1">
      <x:c r="A11" s="10" t="str">
        <x:v>API-B-006</x:v>
      </x:c>
      <x:c r="B11" s="10" t="str">
        <x:v>Java</x:v>
      </x:c>
      <x:c r="C11" s="10" t="str">
        <x:v>deleteThread</x:v>
      </x:c>
      <x:c r="D11" s="10" t="str">
        <x:v>P0</x:v>
      </x:c>
      <x:c r="E11" s="10" t="str">
        <x:v>DELETE /workspaces/{workspaceId}/projects/{projectId}/agent/threads/{threadId}</x:v>
      </x:c>
      <x:c r="F11" s="10" t="str">
        <x:v>Cookie 会话；写入需要有效 CSRF</x:v>
      </x:c>
      <x:c r="G1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" s="10" t="str">
        <x:v>仅删指定 QA 对象；重复/失效删除受控；回读、关联资源与配额符合已定义清理策略
未授权/跨范围请求无读写效果；输入错误返回合理 4xx 或明确失败；拒绝情况不能 200 伪成功；内部错误不泄露凭据</x:v>
      </x:c>
      <x:c r="I11" s="10" t="str">
        <x:v>apps/backend/src/main/java/com/cuupe/backend/modules/agent/controller/AgentController.java:65</x:v>
      </x:c>
      <x:c r="J11" s="11" t="str">
        <x:v>未执行</x:v>
      </x:c>
      <x:c r="K11" s="11" t="str"/>
      <x:c r="L11" s="11" t="str"/>
      <x:c r="M11" s="11" t="str"/>
      <x:c r="N11" s="12"/>
      <x:c r="O11" s="11" t="str">
        <x:v>本行实际结果分开填写正常、鉴权、越权/不存在、参数四个子结果；任一必需子项未验证不能填通过</x:v>
      </x:c>
    </x:row>
    <x:row r="12" ht="52.79999923706055" hidden="0" customHeight="1">
      <x:c r="A12" s="10" t="str">
        <x:v>API-B-007</x:v>
      </x:c>
      <x:c r="B12" s="10" t="str">
        <x:v>Java</x:v>
      </x:c>
      <x:c r="C12" s="10" t="str">
        <x:v>events</x:v>
      </x:c>
      <x:c r="D12" s="10" t="str">
        <x:v>P0</x:v>
      </x:c>
      <x:c r="E12" s="10" t="str">
        <x:v>GET /workspaces/{workspaceId}/projects/{projectId}/agent/runs/{runId}/events</x:v>
      </x:c>
      <x:c r="F12" s="10" t="str">
        <x:v>Cookie 会话；写入需要有效 CSRF</x:v>
      </x:c>
      <x:c r="G1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" s="10" t="str">
        <x:v>apps/backend/src/main/java/com/cuupe/backend/modules/agent/controller/AgentController.java:78</x:v>
      </x:c>
      <x:c r="J12" s="11" t="str">
        <x:v>未执行</x:v>
      </x:c>
      <x:c r="K12" s="11" t="str"/>
      <x:c r="L12" s="11" t="str"/>
      <x:c r="M12" s="11" t="str"/>
      <x:c r="N12" s="12"/>
      <x:c r="O12" s="11" t="str">
        <x:v>本行实际结果分开填写正常、鉴权、越权/不存在、参数四个子结果；任一必需子项未验证不能填通过</x:v>
      </x:c>
    </x:row>
    <x:row r="13" ht="52.79999923706055" hidden="0" customHeight="1">
      <x:c r="A13" s="10" t="str">
        <x:v>API-B-008</x:v>
      </x:c>
      <x:c r="B13" s="10" t="str">
        <x:v>Java</x:v>
      </x:c>
      <x:c r="C13" s="10" t="str">
        <x:v>runSnapshot</x:v>
      </x:c>
      <x:c r="D13" s="10" t="str">
        <x:v>P0</x:v>
      </x:c>
      <x:c r="E13" s="10" t="str">
        <x:v>GET /workspaces/{workspaceId}/projects/{projectId}/agent/runs/{runId}</x:v>
      </x:c>
      <x:c r="F13" s="10" t="str">
        <x:v>Cookie 会话；写入需要有效 CSRF</x:v>
      </x:c>
      <x:c r="G1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3" s="10" t="str">
        <x:v>apps/backend/src/main/java/com/cuupe/backend/modules/agent/controller/AgentController.java:91</x:v>
      </x:c>
      <x:c r="J13" s="11" t="str">
        <x:v>未执行</x:v>
      </x:c>
      <x:c r="K13" s="11" t="str"/>
      <x:c r="L13" s="11" t="str"/>
      <x:c r="M13" s="11" t="str"/>
      <x:c r="N13" s="12"/>
      <x:c r="O13" s="11" t="str">
        <x:v>本行实际结果分开填写正常、鉴权、越权/不存在、参数四个子结果；任一必需子项未验证不能填通过</x:v>
      </x:c>
    </x:row>
    <x:row r="14" ht="52.79999923706055" hidden="0" customHeight="1">
      <x:c r="A14" s="10" t="str">
        <x:v>API-B-009</x:v>
      </x:c>
      <x:c r="B14" s="10" t="str">
        <x:v>Java</x:v>
      </x:c>
      <x:c r="C14" s="10" t="str">
        <x:v>cancel</x:v>
      </x:c>
      <x:c r="D14" s="10" t="str">
        <x:v>P0</x:v>
      </x:c>
      <x:c r="E14" s="10" t="str">
        <x:v>POST /workspaces/{workspaceId}/projects/{projectId}/agent/runs/{runId}/cancel</x:v>
      </x:c>
      <x:c r="F14" s="10" t="str">
        <x:v>Cookie 会话；写入需要有效 CSRF</x:v>
      </x:c>
      <x:c r="G1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4" s="10" t="str">
        <x:v>apps/backend/src/main/java/com/cuupe/backend/modules/agent/controller/AgentController.java:99</x:v>
      </x:c>
      <x:c r="J14" s="11" t="str">
        <x:v>未执行</x:v>
      </x:c>
      <x:c r="K14" s="11" t="str"/>
      <x:c r="L14" s="11" t="str"/>
      <x:c r="M14" s="11" t="str"/>
      <x:c r="N14" s="12"/>
      <x:c r="O14" s="11" t="str">
        <x:v>本行实际结果分开填写正常、鉴权、越权/不存在、参数四个子结果；任一必需子项未验证不能填通过</x:v>
      </x:c>
    </x:row>
    <x:row r="15" ht="52.79999923706055" hidden="0" customHeight="1">
      <x:c r="A15" s="10" t="str">
        <x:v>API-B-010</x:v>
      </x:c>
      <x:c r="B15" s="10" t="str">
        <x:v>Java</x:v>
      </x:c>
      <x:c r="C15" s="10" t="str">
        <x:v>listAttachments</x:v>
      </x:c>
      <x:c r="D15" s="10" t="str">
        <x:v>P0</x:v>
      </x:c>
      <x:c r="E15" s="10" t="str">
        <x:v>GET /workspaces/{workspaceId}/projects/{projectId}/agent/attachments</x:v>
      </x:c>
      <x:c r="F15" s="10" t="str">
        <x:v>Cookie 会话；写入需要有效 CSRF</x:v>
      </x:c>
      <x:c r="G1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5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5" s="10" t="str">
        <x:v>apps/backend/src/main/java/com/cuupe/backend/modules/agent/controller/AgentController.java:112</x:v>
      </x:c>
      <x:c r="J15" s="11" t="str">
        <x:v>未执行</x:v>
      </x:c>
      <x:c r="K15" s="11" t="str"/>
      <x:c r="L15" s="11" t="str"/>
      <x:c r="M15" s="11" t="str"/>
      <x:c r="N15" s="12"/>
      <x:c r="O15" s="11" t="str">
        <x:v>本行实际结果分开填写正常、鉴权、越权/不存在、参数四个子结果；任一必需子项未验证不能填通过</x:v>
      </x:c>
    </x:row>
    <x:row r="16" ht="52.79999923706055" hidden="0" customHeight="1">
      <x:c r="A16" s="10" t="str">
        <x:v>API-B-011</x:v>
      </x:c>
      <x:c r="B16" s="10" t="str">
        <x:v>Java</x:v>
      </x:c>
      <x:c r="C16" s="10" t="str">
        <x:v>uploadAttachment</x:v>
      </x:c>
      <x:c r="D16" s="10" t="str">
        <x:v>P0</x:v>
      </x:c>
      <x:c r="E16" s="10" t="str">
        <x:v>POST /workspaces/{workspaceId}/projects/{projectId}/agent/attachments</x:v>
      </x:c>
      <x:c r="F16" s="10" t="str">
        <x:v>Cookie 会话；写入需要有效 CSRF</x:v>
      </x:c>
      <x:c r="G1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6" s="10" t="str">
        <x:v>apps/backend/src/main/java/com/cuupe/backend/modules/agent/controller/AgentController.java:121</x:v>
      </x:c>
      <x:c r="J16" s="11" t="str">
        <x:v>未执行</x:v>
      </x:c>
      <x:c r="K16" s="11" t="str"/>
      <x:c r="L16" s="11" t="str"/>
      <x:c r="M16" s="11" t="str"/>
      <x:c r="N16" s="12"/>
      <x:c r="O16" s="11" t="str">
        <x:v>本行实际结果分开填写正常、鉴权、越权/不存在、参数四个子结果；任一必需子项未验证不能填通过</x:v>
      </x:c>
    </x:row>
    <x:row r="17" ht="52.79999923706055" hidden="0" customHeight="1">
      <x:c r="A17" s="10" t="str">
        <x:v>API-B-012</x:v>
      </x:c>
      <x:c r="B17" s="10" t="str">
        <x:v>Java</x:v>
      </x:c>
      <x:c r="C17" s="10" t="str">
        <x:v>attachmentContent</x:v>
      </x:c>
      <x:c r="D17" s="10" t="str">
        <x:v>P0</x:v>
      </x:c>
      <x:c r="E17" s="10" t="str">
        <x:v>GET /workspaces/{workspaceId}/projects/{projectId}/agent/attachments/{attachmentId}/content</x:v>
      </x:c>
      <x:c r="F17" s="10" t="str">
        <x:v>Cookie 会话；写入需要有效 CSRF</x:v>
      </x:c>
      <x:c r="G1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7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7" s="10" t="str">
        <x:v>apps/backend/src/main/java/com/cuupe/backend/modules/agent/controller/AgentController.java:134</x:v>
      </x:c>
      <x:c r="J17" s="11" t="str">
        <x:v>未执行</x:v>
      </x:c>
      <x:c r="K17" s="11" t="str"/>
      <x:c r="L17" s="11" t="str"/>
      <x:c r="M17" s="11" t="str"/>
      <x:c r="N17" s="12"/>
      <x:c r="O17" s="11" t="str">
        <x:v>本行实际结果分开填写正常、鉴权、越权/不存在、参数四个子结果；任一必需子项未验证不能填通过</x:v>
      </x:c>
    </x:row>
    <x:row r="18" ht="52.79999923706055" hidden="0" customHeight="1">
      <x:c r="A18" s="10" t="str">
        <x:v>API-B-013</x:v>
      </x:c>
      <x:c r="B18" s="10" t="str">
        <x:v>Java</x:v>
      </x:c>
      <x:c r="C18" s="10" t="str">
        <x:v>attachmentPreview</x:v>
      </x:c>
      <x:c r="D18" s="10" t="str">
        <x:v>P0</x:v>
      </x:c>
      <x:c r="E18" s="10" t="str">
        <x:v>GET /workspaces/{workspaceId}/projects/{projectId}/agent/attachments/{attachmentId}/preview</x:v>
      </x:c>
      <x:c r="F18" s="10" t="str">
        <x:v>Cookie 会话；写入需要有效 CSRF</x:v>
      </x:c>
      <x:c r="G1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8" s="10" t="str">
        <x:v>apps/backend/src/main/java/com/cuupe/backend/modules/agent/controller/AgentController.java:158</x:v>
      </x:c>
      <x:c r="J18" s="11" t="str">
        <x:v>未执行</x:v>
      </x:c>
      <x:c r="K18" s="11" t="str"/>
      <x:c r="L18" s="11" t="str"/>
      <x:c r="M18" s="11" t="str"/>
      <x:c r="N18" s="12"/>
      <x:c r="O18" s="11" t="str">
        <x:v>本行实际结果分开填写正常、鉴权、越权/不存在、参数四个子结果；任一必需子项未验证不能填通过</x:v>
      </x:c>
    </x:row>
    <x:row r="19" ht="52.79999923706055" hidden="0" customHeight="1">
      <x:c r="A19" s="10" t="str">
        <x:v>API-B-014</x:v>
      </x:c>
      <x:c r="B19" s="10" t="str">
        <x:v>Java</x:v>
      </x:c>
      <x:c r="C19" s="10" t="str">
        <x:v>callback</x:v>
      </x:c>
      <x:c r="D19" s="10" t="str">
        <x:v>P0</x:v>
      </x:c>
      <x:c r="E19" s="10" t="str">
        <x:v>POST /internal/ai/runs/{runId}/callback</x:v>
      </x:c>
      <x:c r="F19" s="10" t="str">
        <x:v>X-Internal-Api-Key；限制内部网络</x:v>
      </x:c>
      <x:c r="G1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9" s="10" t="str">
        <x:v>apps/backend/src/main/java/com/cuupe/backend/modules/ai/AiCallbackController.java:25</x:v>
      </x:c>
      <x:c r="J19" s="11" t="str">
        <x:v>未执行</x:v>
      </x:c>
      <x:c r="K19" s="11" t="str"/>
      <x:c r="L19" s="11" t="str"/>
      <x:c r="M19" s="11" t="str"/>
      <x:c r="N19" s="12"/>
      <x:c r="O19" s="11" t="str">
        <x:v>本行实际结果分开填写正常、鉴权、越权/不存在、参数四个子结果；任一必需子项未验证不能填通过</x:v>
      </x:c>
    </x:row>
    <x:row r="20" ht="52.79999923706055" hidden="0" customHeight="1">
      <x:c r="A20" s="10" t="str">
        <x:v>API-B-015</x:v>
      </x:c>
      <x:c r="B20" s="10" t="str">
        <x:v>Java</x:v>
      </x:c>
      <x:c r="C20" s="10" t="str">
        <x:v>agentCallback</x:v>
      </x:c>
      <x:c r="D20" s="10" t="str">
        <x:v>P0</x:v>
      </x:c>
      <x:c r="E20" s="10" t="str">
        <x:v>POST /internal/ai/agent-runs/{runKey}/callback</x:v>
      </x:c>
      <x:c r="F20" s="10" t="str">
        <x:v>X-Internal-Api-Key；限制内部网络</x:v>
      </x:c>
      <x:c r="G2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0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20" s="10" t="str">
        <x:v>apps/backend/src/main/java/com/cuupe/backend/modules/ai/AiCallbackController.java:34</x:v>
      </x:c>
      <x:c r="J20" s="11" t="str">
        <x:v>未执行</x:v>
      </x:c>
      <x:c r="K20" s="11" t="str"/>
      <x:c r="L20" s="11" t="str"/>
      <x:c r="M20" s="11" t="str"/>
      <x:c r="N20" s="12"/>
      <x:c r="O20" s="11" t="str">
        <x:v>本行实际结果分开填写正常、鉴权、越权/不存在、参数四个子结果；任一必需子项未验证不能填通过</x:v>
      </x:c>
    </x:row>
    <x:row r="21" ht="52.79999923706055" hidden="0" customHeight="1">
      <x:c r="A21" s="10" t="str">
        <x:v>API-B-016</x:v>
      </x:c>
      <x:c r="B21" s="10" t="str">
        <x:v>Java</x:v>
      </x:c>
      <x:c r="C21" s="10" t="str">
        <x:v>list</x:v>
      </x:c>
      <x:c r="D21" s="10" t="str">
        <x:v>P1</x:v>
      </x:c>
      <x:c r="E21" s="10" t="str">
        <x:v>GET /workspaces/{workspaceId}/projects/{projectId}/assets</x:v>
      </x:c>
      <x:c r="F21" s="10" t="str">
        <x:v>Cookie 会话；写入需要有效 CSRF</x:v>
      </x:c>
      <x:c r="G2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1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21" s="10" t="str">
        <x:v>apps/backend/src/main/java/com/cuupe/backend/modules/asset/controller/KnowledgeAssetController.java:49</x:v>
      </x:c>
      <x:c r="J21" s="11" t="str">
        <x:v>未执行</x:v>
      </x:c>
      <x:c r="K21" s="11" t="str"/>
      <x:c r="L21" s="11" t="str"/>
      <x:c r="M21" s="11" t="str"/>
      <x:c r="N21" s="12"/>
      <x:c r="O21" s="11" t="str">
        <x:v>本行实际结果分开填写正常、鉴权、越权/不存在、参数四个子结果；任一必需子项未验证不能填通过</x:v>
      </x:c>
    </x:row>
    <x:row r="22" ht="52.79999923706055" hidden="0" customHeight="1">
      <x:c r="A22" s="10" t="str">
        <x:v>API-B-017</x:v>
      </x:c>
      <x:c r="B22" s="10" t="str">
        <x:v>Java</x:v>
      </x:c>
      <x:c r="C22" s="10" t="str">
        <x:v>detail</x:v>
      </x:c>
      <x:c r="D22" s="10" t="str">
        <x:v>P1</x:v>
      </x:c>
      <x:c r="E22" s="10" t="str">
        <x:v>GET /workspaces/{workspaceId}/projects/{projectId}/assets/{assetId}</x:v>
      </x:c>
      <x:c r="F22" s="10" t="str">
        <x:v>Cookie 会话；写入需要有效 CSRF</x:v>
      </x:c>
      <x:c r="G2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22" s="10" t="str">
        <x:v>apps/backend/src/main/java/com/cuupe/backend/modules/asset/controller/KnowledgeAssetController.java:50</x:v>
      </x:c>
      <x:c r="J22" s="11" t="str">
        <x:v>未执行</x:v>
      </x:c>
      <x:c r="K22" s="11" t="str"/>
      <x:c r="L22" s="11" t="str"/>
      <x:c r="M22" s="11" t="str"/>
      <x:c r="N22" s="12"/>
      <x:c r="O22" s="11" t="str">
        <x:v>本行实际结果分开填写正常、鉴权、越权/不存在、参数四个子结果；任一必需子项未验证不能填通过</x:v>
      </x:c>
    </x:row>
    <x:row r="23" ht="52.79999923706055" hidden="0" customHeight="1">
      <x:c r="A23" s="10" t="str">
        <x:v>API-B-018</x:v>
      </x:c>
      <x:c r="B23" s="10" t="str">
        <x:v>Java</x:v>
      </x:c>
      <x:c r="C23" s="10" t="str">
        <x:v>upload</x:v>
      </x:c>
      <x:c r="D23" s="10" t="str">
        <x:v>P1</x:v>
      </x:c>
      <x:c r="E23" s="10" t="str">
        <x:v>POST /workspaces/{workspaceId}/projects/{projectId}/assets</x:v>
      </x:c>
      <x:c r="F23" s="10" t="str">
        <x:v>Cookie 会话；写入需要有效 CSRF</x:v>
      </x:c>
      <x:c r="G2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23" s="10" t="str">
        <x:v>apps/backend/src/main/java/com/cuupe/backend/modules/asset/controller/KnowledgeAssetController.java:52</x:v>
      </x:c>
      <x:c r="J23" s="11" t="str">
        <x:v>未执行</x:v>
      </x:c>
      <x:c r="K23" s="11" t="str"/>
      <x:c r="L23" s="11" t="str"/>
      <x:c r="M23" s="11" t="str"/>
      <x:c r="N23" s="12"/>
      <x:c r="O23" s="11" t="str">
        <x:v>本行实际结果分开填写正常、鉴权、越权/不存在、参数四个子结果；任一必需子项未验证不能填通过</x:v>
      </x:c>
    </x:row>
    <x:row r="24" ht="52.79999923706055" hidden="0" customHeight="1">
      <x:c r="A24" s="10" t="str">
        <x:v>API-B-019</x:v>
      </x:c>
      <x:c r="B24" s="10" t="str">
        <x:v>Java</x:v>
      </x:c>
      <x:c r="C24" s="10" t="str">
        <x:v>remove</x:v>
      </x:c>
      <x:c r="D24" s="10" t="str">
        <x:v>P1</x:v>
      </x:c>
      <x:c r="E24" s="10" t="str">
        <x:v>DELETE /workspaces/{workspaceId}/projects/{projectId}/assets/{assetId}</x:v>
      </x:c>
      <x:c r="F24" s="10" t="str">
        <x:v>Cookie 会话；写入需要有效 CSRF</x:v>
      </x:c>
      <x:c r="G2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4" s="10" t="str">
        <x:v>仅删指定 QA 对象；重复/失效删除受控；回读、关联资源与配额符合已定义清理策略
未授权/跨范围请求无读写效果；输入错误返回合理 4xx 或明确失败；拒绝情况不能 200 伪成功；内部错误不泄露凭据</x:v>
      </x:c>
      <x:c r="I24" s="10" t="str">
        <x:v>apps/backend/src/main/java/com/cuupe/backend/modules/asset/controller/KnowledgeAssetController.java:113</x:v>
      </x:c>
      <x:c r="J24" s="11" t="str">
        <x:v>未执行</x:v>
      </x:c>
      <x:c r="K24" s="11" t="str"/>
      <x:c r="L24" s="11" t="str"/>
      <x:c r="M24" s="11" t="str"/>
      <x:c r="N24" s="12"/>
      <x:c r="O24" s="11" t="str">
        <x:v>本行实际结果分开填写正常、鉴权、越权/不存在、参数四个子结果；任一必需子项未验证不能填通过</x:v>
      </x:c>
    </x:row>
    <x:row r="25" ht="52.79999923706055" hidden="0" customHeight="1">
      <x:c r="A25" s="10" t="str">
        <x:v>API-B-020</x:v>
      </x:c>
      <x:c r="B25" s="10" t="str">
        <x:v>Java</x:v>
      </x:c>
      <x:c r="C25" s="10" t="str">
        <x:v>reindex</x:v>
      </x:c>
      <x:c r="D25" s="10" t="str">
        <x:v>P1</x:v>
      </x:c>
      <x:c r="E25" s="10" t="str">
        <x:v>POST /workspaces/{workspaceId}/projects/{projectId}/assets/{assetId}/reindex</x:v>
      </x:c>
      <x:c r="F25" s="10" t="str">
        <x:v>Cookie 会话；写入需要有效 CSRF</x:v>
      </x:c>
      <x:c r="G2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25" s="10" t="str">
        <x:v>apps/backend/src/main/java/com/cuupe/backend/modules/asset/controller/KnowledgeAssetController.java:123</x:v>
      </x:c>
      <x:c r="J25" s="11" t="str">
        <x:v>未执行</x:v>
      </x:c>
      <x:c r="K25" s="11" t="str"/>
      <x:c r="L25" s="11" t="str"/>
      <x:c r="M25" s="11" t="str"/>
      <x:c r="N25" s="12"/>
      <x:c r="O25" s="11" t="str">
        <x:v>本行实际结果分开填写正常、鉴权、越权/不存在、参数四个子结果；任一必需子项未验证不能填通过</x:v>
      </x:c>
    </x:row>
    <x:row r="26" ht="52.79999923706055" hidden="0" customHeight="1">
      <x:c r="A26" s="10" t="str">
        <x:v>API-B-021</x:v>
      </x:c>
      <x:c r="B26" s="10" t="str">
        <x:v>Java</x:v>
      </x:c>
      <x:c r="C26" s="10" t="str">
        <x:v>chunks</x:v>
      </x:c>
      <x:c r="D26" s="10" t="str">
        <x:v>P1</x:v>
      </x:c>
      <x:c r="E26" s="10" t="str">
        <x:v>GET /workspaces/{workspaceId}/projects/{projectId}/assets/{assetId}/chunks</x:v>
      </x:c>
      <x:c r="F26" s="10" t="str">
        <x:v>Cookie 会话；写入需要有效 CSRF</x:v>
      </x:c>
      <x:c r="G2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6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26" s="10" t="str">
        <x:v>apps/backend/src/main/java/com/cuupe/backend/modules/asset/controller/KnowledgeAssetController.java:138</x:v>
      </x:c>
      <x:c r="J26" s="11" t="str">
        <x:v>未执行</x:v>
      </x:c>
      <x:c r="K26" s="11" t="str"/>
      <x:c r="L26" s="11" t="str"/>
      <x:c r="M26" s="11" t="str"/>
      <x:c r="N26" s="12"/>
      <x:c r="O26" s="11" t="str">
        <x:v>本行实际结果分开填写正常、鉴权、越权/不存在、参数四个子结果；任一必需子项未验证不能填通过</x:v>
      </x:c>
    </x:row>
    <x:row r="27" ht="52.79999923706055" hidden="0" customHeight="1">
      <x:c r="A27" s="10" t="str">
        <x:v>API-B-022</x:v>
      </x:c>
      <x:c r="B27" s="10" t="str">
        <x:v>Java</x:v>
      </x:c>
      <x:c r="C27" s="10" t="str">
        <x:v>content</x:v>
      </x:c>
      <x:c r="D27" s="10" t="str">
        <x:v>P0</x:v>
      </x:c>
      <x:c r="E27" s="10" t="str">
        <x:v>GET /workspaces/{workspaceId}/projects/{projectId}/assets/{assetId}/content</x:v>
      </x:c>
      <x:c r="F27" s="10" t="str">
        <x:v>Cookie 会话；写入需要有效 CSRF</x:v>
      </x:c>
      <x:c r="G2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7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27" s="10" t="str">
        <x:v>apps/backend/src/main/java/com/cuupe/backend/modules/asset/controller/KnowledgeAssetController.java:154</x:v>
      </x:c>
      <x:c r="J27" s="11" t="str">
        <x:v>未执行</x:v>
      </x:c>
      <x:c r="K27" s="11" t="str"/>
      <x:c r="L27" s="11" t="str"/>
      <x:c r="M27" s="11" t="str"/>
      <x:c r="N27" s="12"/>
      <x:c r="O27" s="11" t="str">
        <x:v>本行实际结果分开填写正常、鉴权、越权/不存在、参数四个子结果；任一必需子项未验证不能填通过</x:v>
      </x:c>
    </x:row>
    <x:row r="28" ht="52.79999923706055" hidden="0" customHeight="1">
      <x:c r="A28" s="10" t="str">
        <x:v>API-B-023</x:v>
      </x:c>
      <x:c r="B28" s="10" t="str">
        <x:v>Java</x:v>
      </x:c>
      <x:c r="C28" s="10" t="str">
        <x:v>list</x:v>
      </x:c>
      <x:c r="D28" s="10" t="str">
        <x:v>P1</x:v>
      </x:c>
      <x:c r="E28" s="10" t="str">
        <x:v>GET /workspaces/{workspaceId}/audit-logs</x:v>
      </x:c>
      <x:c r="F28" s="10" t="str">
        <x:v>Cookie 会话；写入需要有效 CSRF</x:v>
      </x:c>
      <x:c r="G2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28" s="10" t="str">
        <x:v>apps/backend/src/main/java/com/cuupe/backend/modules/audit/controller/AuditLogController.java:22</x:v>
      </x:c>
      <x:c r="J28" s="11" t="str">
        <x:v>未执行</x:v>
      </x:c>
      <x:c r="K28" s="11" t="str"/>
      <x:c r="L28" s="11" t="str"/>
      <x:c r="M28" s="11" t="str"/>
      <x:c r="N28" s="12"/>
      <x:c r="O28" s="11" t="str">
        <x:v>本行实际结果分开填写正常、鉴权、越权/不存在、参数四个子结果；任一必需子项未验证不能填通过</x:v>
      </x:c>
    </x:row>
    <x:row r="29" ht="52.79999923706055" hidden="0" customHeight="1">
      <x:c r="A29" s="10" t="str">
        <x:v>API-B-024</x:v>
      </x:c>
      <x:c r="B29" s="10" t="str">
        <x:v>Java</x:v>
      </x:c>
      <x:c r="C29" s="10" t="str">
        <x:v>loginByPassword</x:v>
      </x:c>
      <x:c r="D29" s="10" t="str">
        <x:v>P0</x:v>
      </x:c>
      <x:c r="E29" s="10" t="str">
        <x:v>POST /auth/login/password</x:v>
      </x:c>
      <x:c r="F29" s="10" t="str">
        <x:v>公开入口；仍校验输入与限流</x:v>
      </x:c>
      <x:c r="G2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2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29" s="10" t="str">
        <x:v>apps/backend/src/main/java/com/cuupe/backend/modules/auth/controller/AuthController.java:35</x:v>
      </x:c>
      <x:c r="J29" s="11" t="str">
        <x:v>未执行</x:v>
      </x:c>
      <x:c r="K29" s="11" t="str"/>
      <x:c r="L29" s="11" t="str"/>
      <x:c r="M29" s="11" t="str"/>
      <x:c r="N29" s="12"/>
      <x:c r="O29" s="11" t="str">
        <x:v>本行实际结果分开填写正常、鉴权、越权/不存在、参数四个子结果；任一必需子项未验证不能填通过</x:v>
      </x:c>
    </x:row>
    <x:row r="30" ht="52.79999923706055" hidden="0" customHeight="1">
      <x:c r="A30" s="10" t="str">
        <x:v>API-B-025</x:v>
      </x:c>
      <x:c r="B30" s="10" t="str">
        <x:v>Java</x:v>
      </x:c>
      <x:c r="C30" s="10" t="str">
        <x:v>loginBySms</x:v>
      </x:c>
      <x:c r="D30" s="10" t="str">
        <x:v>P0</x:v>
      </x:c>
      <x:c r="E30" s="10" t="str">
        <x:v>POST /auth/login/sms</x:v>
      </x:c>
      <x:c r="F30" s="10" t="str">
        <x:v>公开入口；仍校验输入与限流</x:v>
      </x:c>
      <x:c r="G3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0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0" s="10" t="str">
        <x:v>apps/backend/src/main/java/com/cuupe/backend/modules/auth/controller/AuthController.java:44</x:v>
      </x:c>
      <x:c r="J30" s="11" t="str">
        <x:v>未执行</x:v>
      </x:c>
      <x:c r="K30" s="11" t="str"/>
      <x:c r="L30" s="11" t="str"/>
      <x:c r="M30" s="11" t="str"/>
      <x:c r="N30" s="12"/>
      <x:c r="O30" s="11" t="str">
        <x:v>本行实际结果分开填写正常、鉴权、越权/不存在、参数四个子结果；任一必需子项未验证不能填通过</x:v>
      </x:c>
    </x:row>
    <x:row r="31" ht="52.79999923706055" hidden="0" customHeight="1">
      <x:c r="A31" s="10" t="str">
        <x:v>API-B-026</x:v>
      </x:c>
      <x:c r="B31" s="10" t="str">
        <x:v>Java</x:v>
      </x:c>
      <x:c r="C31" s="10" t="str">
        <x:v>getSms</x:v>
      </x:c>
      <x:c r="D31" s="10" t="str">
        <x:v>P1</x:v>
      </x:c>
      <x:c r="E31" s="10" t="str">
        <x:v>POST /auth/sms</x:v>
      </x:c>
      <x:c r="F31" s="10" t="str">
        <x:v>公开入口；仍校验输入与限流</x:v>
      </x:c>
      <x:c r="G3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1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1" s="10" t="str">
        <x:v>apps/backend/src/main/java/com/cuupe/backend/modules/auth/controller/AuthController.java:57</x:v>
      </x:c>
      <x:c r="J31" s="11" t="str">
        <x:v>未执行</x:v>
      </x:c>
      <x:c r="K31" s="11" t="str"/>
      <x:c r="L31" s="11" t="str"/>
      <x:c r="M31" s="11" t="str"/>
      <x:c r="N31" s="12"/>
      <x:c r="O31" s="11" t="str">
        <x:v>本行实际结果分开填写正常、鉴权、越权/不存在、参数四个子结果；任一必需子项未验证不能填通过</x:v>
      </x:c>
    </x:row>
    <x:row r="32" ht="52.79999923706055" hidden="0" customHeight="1">
      <x:c r="A32" s="10" t="str">
        <x:v>API-B-027</x:v>
      </x:c>
      <x:c r="B32" s="10" t="str">
        <x:v>Java</x:v>
      </x:c>
      <x:c r="C32" s="10" t="str">
        <x:v>register</x:v>
      </x:c>
      <x:c r="D32" s="10" t="str">
        <x:v>P0</x:v>
      </x:c>
      <x:c r="E32" s="10" t="str">
        <x:v>POST /auth/register</x:v>
      </x:c>
      <x:c r="F32" s="10" t="str">
        <x:v>公开入口；仍校验输入与限流</x:v>
      </x:c>
      <x:c r="G3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2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2" s="10" t="str">
        <x:v>apps/backend/src/main/java/com/cuupe/backend/modules/auth/controller/AuthController.java:85</x:v>
      </x:c>
      <x:c r="J32" s="11" t="str">
        <x:v>未执行</x:v>
      </x:c>
      <x:c r="K32" s="11" t="str"/>
      <x:c r="L32" s="11" t="str"/>
      <x:c r="M32" s="11" t="str"/>
      <x:c r="N32" s="12"/>
      <x:c r="O32" s="11" t="str">
        <x:v>本行实际结果分开填写正常、鉴权、越权/不存在、参数四个子结果；任一必需子项未验证不能填通过</x:v>
      </x:c>
    </x:row>
    <x:row r="33" ht="52.79999923706055" hidden="0" customHeight="1">
      <x:c r="A33" s="10" t="str">
        <x:v>API-B-028</x:v>
      </x:c>
      <x:c r="B33" s="10" t="str">
        <x:v>Java</x:v>
      </x:c>
      <x:c r="C33" s="10" t="str">
        <x:v>resetPassword</x:v>
      </x:c>
      <x:c r="D33" s="10" t="str">
        <x:v>P1</x:v>
      </x:c>
      <x:c r="E33" s="10" t="str">
        <x:v>POST /auth/password/reset</x:v>
      </x:c>
      <x:c r="F33" s="10" t="str">
        <x:v>公开入口；仍校验输入与限流</x:v>
      </x:c>
      <x:c r="G3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3" s="10" t="str">
        <x:v>apps/backend/src/main/java/com/cuupe/backend/modules/auth/controller/AuthController.java:92</x:v>
      </x:c>
      <x:c r="J33" s="11" t="str">
        <x:v>未执行</x:v>
      </x:c>
      <x:c r="K33" s="11" t="str"/>
      <x:c r="L33" s="11" t="str"/>
      <x:c r="M33" s="11" t="str"/>
      <x:c r="N33" s="12"/>
      <x:c r="O33" s="11" t="str">
        <x:v>本行实际结果分开填写正常、鉴权、越权/不存在、参数四个子结果；任一必需子项未验证不能填通过</x:v>
      </x:c>
    </x:row>
    <x:row r="34" ht="52.79999923706055" hidden="0" customHeight="1">
      <x:c r="A34" s="10" t="str">
        <x:v>API-B-029</x:v>
      </x:c>
      <x:c r="B34" s="10" t="str">
        <x:v>Java</x:v>
      </x:c>
      <x:c r="C34" s="10" t="str">
        <x:v>me</x:v>
      </x:c>
      <x:c r="D34" s="10" t="str">
        <x:v>P1</x:v>
      </x:c>
      <x:c r="E34" s="10" t="str">
        <x:v>GET /auth/me</x:v>
      </x:c>
      <x:c r="F34" s="10" t="str">
        <x:v>Cookie 会话；写入需要有效 CSRF</x:v>
      </x:c>
      <x:c r="G3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4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34" s="10" t="str">
        <x:v>apps/backend/src/main/java/com/cuupe/backend/modules/auth/controller/AuthController.java:100</x:v>
      </x:c>
      <x:c r="J34" s="11" t="str">
        <x:v>未执行</x:v>
      </x:c>
      <x:c r="K34" s="11" t="str"/>
      <x:c r="L34" s="11" t="str"/>
      <x:c r="M34" s="11" t="str"/>
      <x:c r="N34" s="12"/>
      <x:c r="O34" s="11" t="str">
        <x:v>本行实际结果分开填写正常、鉴权、越权/不存在、参数四个子结果；任一必需子项未验证不能填通过</x:v>
      </x:c>
    </x:row>
    <x:row r="35" ht="52.79999923706055" hidden="0" customHeight="1">
      <x:c r="A35" s="10" t="str">
        <x:v>API-B-030</x:v>
      </x:c>
      <x:c r="B35" s="10" t="str">
        <x:v>Java</x:v>
      </x:c>
      <x:c r="C35" s="10" t="str">
        <x:v>updateProfile</x:v>
      </x:c>
      <x:c r="D35" s="10" t="str">
        <x:v>P1</x:v>
      </x:c>
      <x:c r="E35" s="10" t="str">
        <x:v>PATCH /auth/me</x:v>
      </x:c>
      <x:c r="F35" s="10" t="str">
        <x:v>Cookie 会话；写入需要有效 CSRF</x:v>
      </x:c>
      <x:c r="G3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5" s="10" t="str">
        <x:v>apps/backend/src/main/java/com/cuupe/backend/modules/auth/controller/AuthController.java:106</x:v>
      </x:c>
      <x:c r="J35" s="11" t="str">
        <x:v>未执行</x:v>
      </x:c>
      <x:c r="K35" s="11" t="str"/>
      <x:c r="L35" s="11" t="str"/>
      <x:c r="M35" s="11" t="str"/>
      <x:c r="N35" s="12"/>
      <x:c r="O35" s="11" t="str">
        <x:v>本行实际结果分开填写正常、鉴权、越权/不存在、参数四个子结果；任一必需子项未验证不能填通过</x:v>
      </x:c>
    </x:row>
    <x:row r="36" ht="52.79999923706055" hidden="0" customHeight="1">
      <x:c r="A36" s="10" t="str">
        <x:v>API-B-031</x:v>
      </x:c>
      <x:c r="B36" s="10" t="str">
        <x:v>Java</x:v>
      </x:c>
      <x:c r="C36" s="10" t="str">
        <x:v>updatePreferences</x:v>
      </x:c>
      <x:c r="D36" s="10" t="str">
        <x:v>P1</x:v>
      </x:c>
      <x:c r="E36" s="10" t="str">
        <x:v>PATCH /auth/me/preferences</x:v>
      </x:c>
      <x:c r="F36" s="10" t="str">
        <x:v>Cookie 会话；写入需要有效 CSRF</x:v>
      </x:c>
      <x:c r="G3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6" s="10" t="str">
        <x:v>apps/backend/src/main/java/com/cuupe/backend/modules/auth/controller/AuthController.java:113</x:v>
      </x:c>
      <x:c r="J36" s="11" t="str">
        <x:v>未执行</x:v>
      </x:c>
      <x:c r="K36" s="11" t="str"/>
      <x:c r="L36" s="11" t="str"/>
      <x:c r="M36" s="11" t="str"/>
      <x:c r="N36" s="12"/>
      <x:c r="O36" s="11" t="str">
        <x:v>本行实际结果分开填写正常、鉴权、越权/不存在、参数四个子结果；任一必需子项未验证不能填通过</x:v>
      </x:c>
    </x:row>
    <x:row r="37" ht="52.79999923706055" hidden="0" customHeight="1">
      <x:c r="A37" s="10" t="str">
        <x:v>API-B-032</x:v>
      </x:c>
      <x:c r="B37" s="10" t="str">
        <x:v>Java</x:v>
      </x:c>
      <x:c r="C37" s="10" t="str">
        <x:v>updatePassword</x:v>
      </x:c>
      <x:c r="D37" s="10" t="str">
        <x:v>P1</x:v>
      </x:c>
      <x:c r="E37" s="10" t="str">
        <x:v>PUT /auth/me/password</x:v>
      </x:c>
      <x:c r="F37" s="10" t="str">
        <x:v>Cookie 会话；写入需要有效 CSRF</x:v>
      </x:c>
      <x:c r="G3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7" s="10" t="str">
        <x:v>apps/backend/src/main/java/com/cuupe/backend/modules/auth/controller/AuthController.java:120</x:v>
      </x:c>
      <x:c r="J37" s="11" t="str">
        <x:v>未执行</x:v>
      </x:c>
      <x:c r="K37" s="11" t="str"/>
      <x:c r="L37" s="11" t="str"/>
      <x:c r="M37" s="11" t="str"/>
      <x:c r="N37" s="12"/>
      <x:c r="O37" s="11" t="str">
        <x:v>本行实际结果分开填写正常、鉴权、越权/不存在、参数四个子结果；任一必需子项未验证不能填通过</x:v>
      </x:c>
    </x:row>
    <x:row r="38" ht="52.79999923706055" hidden="0" customHeight="1">
      <x:c r="A38" s="10" t="str">
        <x:v>API-B-033</x:v>
      </x:c>
      <x:c r="B38" s="10" t="str">
        <x:v>Java</x:v>
      </x:c>
      <x:c r="C38" s="10" t="str">
        <x:v>updatePhone</x:v>
      </x:c>
      <x:c r="D38" s="10" t="str">
        <x:v>P1</x:v>
      </x:c>
      <x:c r="E38" s="10" t="str">
        <x:v>PUT /auth/me/phone</x:v>
      </x:c>
      <x:c r="F38" s="10" t="str">
        <x:v>Cookie 会话；写入需要有效 CSRF</x:v>
      </x:c>
      <x:c r="G3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8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38" s="10" t="str">
        <x:v>apps/backend/src/main/java/com/cuupe/backend/modules/auth/controller/AuthController.java:129</x:v>
      </x:c>
      <x:c r="J38" s="11" t="str">
        <x:v>未执行</x:v>
      </x:c>
      <x:c r="K38" s="11" t="str"/>
      <x:c r="L38" s="11" t="str"/>
      <x:c r="M38" s="11" t="str"/>
      <x:c r="N38" s="12"/>
      <x:c r="O38" s="11" t="str">
        <x:v>本行实际结果分开填写正常、鉴权、越权/不存在、参数四个子结果；任一必需子项未验证不能填通过</x:v>
      </x:c>
    </x:row>
    <x:row r="39" ht="52.79999923706055" hidden="0" customHeight="1">
      <x:c r="A39" s="10" t="str">
        <x:v>API-B-034</x:v>
      </x:c>
      <x:c r="B39" s="10" t="str">
        <x:v>Java</x:v>
      </x:c>
      <x:c r="C39" s="10" t="str">
        <x:v>captcha</x:v>
      </x:c>
      <x:c r="D39" s="10" t="str">
        <x:v>P1</x:v>
      </x:c>
      <x:c r="E39" s="10" t="str">
        <x:v>GET /auth/captcha</x:v>
      </x:c>
      <x:c r="F39" s="10" t="str">
        <x:v>公开入口；仍校验输入与限流</x:v>
      </x:c>
      <x:c r="G3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39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39" s="10" t="str">
        <x:v>apps/backend/src/main/java/com/cuupe/backend/modules/auth/controller/CaptchaController.java:21</x:v>
      </x:c>
      <x:c r="J39" s="11" t="str">
        <x:v>未执行</x:v>
      </x:c>
      <x:c r="K39" s="11" t="str"/>
      <x:c r="L39" s="11" t="str"/>
      <x:c r="M39" s="11" t="str"/>
      <x:c r="N39" s="12"/>
      <x:c r="O39" s="11" t="str">
        <x:v>本行实际结果分开填写正常、鉴权、越权/不存在、参数四个子结果；任一必需子项未验证不能填通过</x:v>
      </x:c>
    </x:row>
    <x:row r="40" ht="52.79999923706055" hidden="0" customHeight="1">
      <x:c r="A40" s="10" t="str">
        <x:v>API-B-035</x:v>
      </x:c>
      <x:c r="B40" s="10" t="str">
        <x:v>Java</x:v>
      </x:c>
      <x:c r="C40" s="10" t="str">
        <x:v>csrf</x:v>
      </x:c>
      <x:c r="D40" s="10" t="str">
        <x:v>P1</x:v>
      </x:c>
      <x:c r="E40" s="10" t="str">
        <x:v>GET /auth/csrf</x:v>
      </x:c>
      <x:c r="F40" s="10" t="str">
        <x:v>公开入口；仍校验输入与限流</x:v>
      </x:c>
      <x:c r="G4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40" s="10" t="str">
        <x:v>apps/backend/src/main/java/com/cuupe/backend/modules/auth/controller/CsrfController.java:12</x:v>
      </x:c>
      <x:c r="J40" s="11" t="str">
        <x:v>未执行</x:v>
      </x:c>
      <x:c r="K40" s="11" t="str"/>
      <x:c r="L40" s="11" t="str"/>
      <x:c r="M40" s="11" t="str"/>
      <x:c r="N40" s="12"/>
      <x:c r="O40" s="11" t="str">
        <x:v>本行实际结果分开填写正常、鉴权、越权/不存在、参数四个子结果；任一必需子项未验证不能填通过</x:v>
      </x:c>
    </x:row>
    <x:row r="41" ht="52.79999923706055" hidden="0" customHeight="1">
      <x:c r="A41" s="10" t="str">
        <x:v>API-B-036</x:v>
      </x:c>
      <x:c r="B41" s="10" t="str">
        <x:v>Java</x:v>
      </x:c>
      <x:c r="C41" s="10" t="str">
        <x:v>list</x:v>
      </x:c>
      <x:c r="D41" s="10" t="str">
        <x:v>P1</x:v>
      </x:c>
      <x:c r="E41" s="10" t="str">
        <x:v>GET /workspaces/{workspaceId}/evaluation-cases</x:v>
      </x:c>
      <x:c r="F41" s="10" t="str">
        <x:v>Cookie 会话；写入需要有效 CSRF</x:v>
      </x:c>
      <x:c r="G4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1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41" s="10" t="str">
        <x:v>apps/backend/src/main/java/com/cuupe/backend/modules/evaluation/controller/EvaluationCaseController.java:48</x:v>
      </x:c>
      <x:c r="J41" s="11" t="str">
        <x:v>未执行</x:v>
      </x:c>
      <x:c r="K41" s="11" t="str"/>
      <x:c r="L41" s="11" t="str"/>
      <x:c r="M41" s="11" t="str"/>
      <x:c r="N41" s="12"/>
      <x:c r="O41" s="11" t="str">
        <x:v>本行实际结果分开填写正常、鉴权、越权/不存在、参数四个子结果；任一必需子项未验证不能填通过</x:v>
      </x:c>
    </x:row>
    <x:row r="42" ht="52.79999923706055" hidden="0" customHeight="1">
      <x:c r="A42" s="10" t="str">
        <x:v>API-B-037</x:v>
      </x:c>
      <x:c r="B42" s="10" t="str">
        <x:v>Java</x:v>
      </x:c>
      <x:c r="C42" s="10" t="str">
        <x:v>create</x:v>
      </x:c>
      <x:c r="D42" s="10" t="str">
        <x:v>P1</x:v>
      </x:c>
      <x:c r="E42" s="10" t="str">
        <x:v>POST /workspaces/{workspaceId}/evaluation-cases</x:v>
      </x:c>
      <x:c r="F42" s="10" t="str">
        <x:v>Cookie 会话；写入需要有效 CSRF</x:v>
      </x:c>
      <x:c r="G4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2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42" s="10" t="str">
        <x:v>apps/backend/src/main/java/com/cuupe/backend/modules/evaluation/controller/EvaluationCaseController.java:56</x:v>
      </x:c>
      <x:c r="J42" s="11" t="str">
        <x:v>未执行</x:v>
      </x:c>
      <x:c r="K42" s="11" t="str"/>
      <x:c r="L42" s="11" t="str"/>
      <x:c r="M42" s="11" t="str"/>
      <x:c r="N42" s="12"/>
      <x:c r="O42" s="11" t="str">
        <x:v>本行实际结果分开填写正常、鉴权、越权/不存在、参数四个子结果；任一必需子项未验证不能填通过</x:v>
      </x:c>
    </x:row>
    <x:row r="43" ht="52.79999923706055" hidden="0" customHeight="1">
      <x:c r="A43" s="10" t="str">
        <x:v>API-B-038</x:v>
      </x:c>
      <x:c r="B43" s="10" t="str">
        <x:v>Java</x:v>
      </x:c>
      <x:c r="C43" s="10" t="str">
        <x:v>update</x:v>
      </x:c>
      <x:c r="D43" s="10" t="str">
        <x:v>P1</x:v>
      </x:c>
      <x:c r="E43" s="10" t="str">
        <x:v>PATCH /workspaces/{workspaceId}/evaluation-cases/{caseId}</x:v>
      </x:c>
      <x:c r="F43" s="10" t="str">
        <x:v>Cookie 会话；写入需要有效 CSRF</x:v>
      </x:c>
      <x:c r="G4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43" s="10" t="str">
        <x:v>apps/backend/src/main/java/com/cuupe/backend/modules/evaluation/controller/EvaluationCaseController.java:85</x:v>
      </x:c>
      <x:c r="J43" s="11" t="str">
        <x:v>未执行</x:v>
      </x:c>
      <x:c r="K43" s="11" t="str"/>
      <x:c r="L43" s="11" t="str"/>
      <x:c r="M43" s="11" t="str"/>
      <x:c r="N43" s="12"/>
      <x:c r="O43" s="11" t="str">
        <x:v>本行实际结果分开填写正常、鉴权、越权/不存在、参数四个子结果；任一必需子项未验证不能填通过</x:v>
      </x:c>
    </x:row>
    <x:row r="44" ht="52.79999923706055" hidden="0" customHeight="1">
      <x:c r="A44" s="10" t="str">
        <x:v>API-B-039</x:v>
      </x:c>
      <x:c r="B44" s="10" t="str">
        <x:v>Java</x:v>
      </x:c>
      <x:c r="C44" s="10" t="str">
        <x:v>runRetrievalEvaluation</x:v>
      </x:c>
      <x:c r="D44" s="10" t="str">
        <x:v>P1</x:v>
      </x:c>
      <x:c r="E44" s="10" t="str">
        <x:v>POST /workspaces/{workspaceId}/evaluation-cases/{caseId}/run</x:v>
      </x:c>
      <x:c r="F44" s="10" t="str">
        <x:v>Cookie 会话；写入需要有效 CSRF</x:v>
      </x:c>
      <x:c r="G4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44" s="10" t="str">
        <x:v>apps/backend/src/main/java/com/cuupe/backend/modules/evaluation/controller/EvaluationCaseController.java:120</x:v>
      </x:c>
      <x:c r="J44" s="11" t="str">
        <x:v>未执行</x:v>
      </x:c>
      <x:c r="K44" s="11" t="str"/>
      <x:c r="L44" s="11" t="str"/>
      <x:c r="M44" s="11" t="str"/>
      <x:c r="N44" s="12"/>
      <x:c r="O44" s="11" t="str">
        <x:v>本行实际结果分开填写正常、鉴权、越权/不存在、参数四个子结果；任一必需子项未验证不能填通过</x:v>
      </x:c>
    </x:row>
    <x:row r="45" ht="52.79999923706055" hidden="0" customHeight="1">
      <x:c r="A45" s="10" t="str">
        <x:v>API-B-040</x:v>
      </x:c>
      <x:c r="B45" s="10" t="str">
        <x:v>Java</x:v>
      </x:c>
      <x:c r="C45" s="10" t="str">
        <x:v>search</x:v>
      </x:c>
      <x:c r="D45" s="10" t="str">
        <x:v>P0</x:v>
      </x:c>
      <x:c r="E45" s="10" t="str">
        <x:v>POST /workspaces/{workspaceId}/projects/{projectId}/knowledge/search</x:v>
      </x:c>
      <x:c r="F45" s="10" t="str">
        <x:v>Cookie 会话；写入需要有效 CSRF</x:v>
      </x:c>
      <x:c r="G4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45" s="10" t="str">
        <x:v>apps/backend/src/main/java/com/cuupe/backend/modules/knowledge/controller/KnowledgeController.java:26</x:v>
      </x:c>
      <x:c r="J45" s="11" t="str">
        <x:v>未执行</x:v>
      </x:c>
      <x:c r="K45" s="11" t="str"/>
      <x:c r="L45" s="11" t="str"/>
      <x:c r="M45" s="11" t="str"/>
      <x:c r="N45" s="12"/>
      <x:c r="O45" s="11" t="str">
        <x:v>本行实际结果分开填写正常、鉴权、越权/不存在、参数四个子结果；任一必需子项未验证不能填通过</x:v>
      </x:c>
    </x:row>
    <x:row r="46" ht="52.79999923706055" hidden="0" customHeight="1">
      <x:c r="A46" s="10" t="str">
        <x:v>API-B-041</x:v>
      </x:c>
      <x:c r="B46" s="10" t="str">
        <x:v>Java</x:v>
      </x:c>
      <x:c r="C46" s="10" t="str">
        <x:v>answer</x:v>
      </x:c>
      <x:c r="D46" s="10" t="str">
        <x:v>P0</x:v>
      </x:c>
      <x:c r="E46" s="10" t="str">
        <x:v>POST /workspaces/{workspaceId}/projects/{projectId}/knowledge/answer</x:v>
      </x:c>
      <x:c r="F46" s="10" t="str">
        <x:v>Cookie 会话；写入需要有效 CSRF</x:v>
      </x:c>
      <x:c r="G4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46" s="10" t="str">
        <x:v>apps/backend/src/main/java/com/cuupe/backend/modules/knowledge/controller/KnowledgeController.java:40</x:v>
      </x:c>
      <x:c r="J46" s="11" t="str">
        <x:v>未执行</x:v>
      </x:c>
      <x:c r="K46" s="11" t="str"/>
      <x:c r="L46" s="11" t="str"/>
      <x:c r="M46" s="11" t="str"/>
      <x:c r="N46" s="12"/>
      <x:c r="O46" s="11" t="str">
        <x:v>本行实际结果分开填写正常、鉴权、越权/不存在、参数四个子结果；任一必需子项未验证不能填通过</x:v>
      </x:c>
    </x:row>
    <x:row r="47" ht="52.79999923706055" hidden="0" customHeight="1">
      <x:c r="A47" s="10" t="str">
        <x:v>API-B-042</x:v>
      </x:c>
      <x:c r="B47" s="10" t="str">
        <x:v>Java</x:v>
      </x:c>
      <x:c r="C47" s="10" t="str">
        <x:v>list</x:v>
      </x:c>
      <x:c r="D47" s="10" t="str">
        <x:v>P1</x:v>
      </x:c>
      <x:c r="E47" s="10" t="str">
        <x:v>GET /workspaces/{workspaceId}/notifications</x:v>
      </x:c>
      <x:c r="F47" s="10" t="str">
        <x:v>Cookie 会话；写入需要有效 CSRF</x:v>
      </x:c>
      <x:c r="G4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7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47" s="10" t="str">
        <x:v>apps/backend/src/main/java/com/cuupe/backend/modules/notification/controller/NotificationController.java:19</x:v>
      </x:c>
      <x:c r="J47" s="11" t="str">
        <x:v>未执行</x:v>
      </x:c>
      <x:c r="K47" s="11" t="str"/>
      <x:c r="L47" s="11" t="str"/>
      <x:c r="M47" s="11" t="str"/>
      <x:c r="N47" s="12"/>
      <x:c r="O47" s="11" t="str">
        <x:v>本行实际结果分开填写正常、鉴权、越权/不存在、参数四个子结果；任一必需子项未验证不能填通过</x:v>
      </x:c>
    </x:row>
    <x:row r="48" ht="52.79999923706055" hidden="0" customHeight="1">
      <x:c r="A48" s="10" t="str">
        <x:v>API-B-043</x:v>
      </x:c>
      <x:c r="B48" s="10" t="str">
        <x:v>Java</x:v>
      </x:c>
      <x:c r="C48" s="10" t="str">
        <x:v>markRead</x:v>
      </x:c>
      <x:c r="D48" s="10" t="str">
        <x:v>P1</x:v>
      </x:c>
      <x:c r="E48" s="10" t="str">
        <x:v>PATCH /workspaces/{workspaceId}/notifications/{id}/read</x:v>
      </x:c>
      <x:c r="F48" s="10" t="str">
        <x:v>Cookie 会话；写入需要有效 CSRF</x:v>
      </x:c>
      <x:c r="G4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8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48" s="10" t="str">
        <x:v>apps/backend/src/main/java/com/cuupe/backend/modules/notification/controller/NotificationController.java:27</x:v>
      </x:c>
      <x:c r="J48" s="11" t="str">
        <x:v>未执行</x:v>
      </x:c>
      <x:c r="K48" s="11" t="str"/>
      <x:c r="L48" s="11" t="str"/>
      <x:c r="M48" s="11" t="str"/>
      <x:c r="N48" s="12"/>
      <x:c r="O48" s="11" t="str">
        <x:v>本行实际结果分开填写正常、鉴权、越权/不存在、参数四个子结果；任一必需子项未验证不能填通过</x:v>
      </x:c>
    </x:row>
    <x:row r="49" ht="52.79999923706055" hidden="0" customHeight="1">
      <x:c r="A49" s="10" t="str">
        <x:v>API-B-044</x:v>
      </x:c>
      <x:c r="B49" s="10" t="str">
        <x:v>Java</x:v>
      </x:c>
      <x:c r="C49" s="10" t="str">
        <x:v>markAllRead</x:v>
      </x:c>
      <x:c r="D49" s="10" t="str">
        <x:v>P1</x:v>
      </x:c>
      <x:c r="E49" s="10" t="str">
        <x:v>PATCH /workspaces/{workspaceId}/notifications/read-all</x:v>
      </x:c>
      <x:c r="F49" s="10" t="str">
        <x:v>Cookie 会话；写入需要有效 CSRF</x:v>
      </x:c>
      <x:c r="G4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4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49" s="10" t="str">
        <x:v>apps/backend/src/main/java/com/cuupe/backend/modules/notification/controller/NotificationController.java:37</x:v>
      </x:c>
      <x:c r="J49" s="11" t="str">
        <x:v>未执行</x:v>
      </x:c>
      <x:c r="K49" s="11" t="str"/>
      <x:c r="L49" s="11" t="str"/>
      <x:c r="M49" s="11" t="str"/>
      <x:c r="N49" s="12"/>
      <x:c r="O49" s="11" t="str">
        <x:v>本行实际结果分开填写正常、鉴权、越权/不存在、参数四个子结果；任一必需子项未验证不能填通过</x:v>
      </x:c>
    </x:row>
    <x:row r="50" ht="52.79999923706055" hidden="0" customHeight="1">
      <x:c r="A50" s="10" t="str">
        <x:v>API-B-045</x:v>
      </x:c>
      <x:c r="B50" s="10" t="str">
        <x:v>Java</x:v>
      </x:c>
      <x:c r="C50" s="10" t="str">
        <x:v>list</x:v>
      </x:c>
      <x:c r="D50" s="10" t="str">
        <x:v>P1</x:v>
      </x:c>
      <x:c r="E50" s="10" t="str">
        <x:v>GET /workspaces/{workspaceId}/projects</x:v>
      </x:c>
      <x:c r="F50" s="10" t="str">
        <x:v>Cookie 会话；写入需要有效 CSRF</x:v>
      </x:c>
      <x:c r="G5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50" s="10" t="str">
        <x:v>apps/backend/src/main/java/com/cuupe/backend/modules/project/controller/ProjectController.java:24</x:v>
      </x:c>
      <x:c r="J50" s="11" t="str">
        <x:v>未执行</x:v>
      </x:c>
      <x:c r="K50" s="11" t="str"/>
      <x:c r="L50" s="11" t="str"/>
      <x:c r="M50" s="11" t="str"/>
      <x:c r="N50" s="12"/>
      <x:c r="O50" s="11" t="str">
        <x:v>本行实际结果分开填写正常、鉴权、越权/不存在、参数四个子结果；任一必需子项未验证不能填通过</x:v>
      </x:c>
    </x:row>
    <x:row r="51" ht="52.79999923706055" hidden="0" customHeight="1">
      <x:c r="A51" s="10" t="str">
        <x:v>API-B-046</x:v>
      </x:c>
      <x:c r="B51" s="10" t="str">
        <x:v>Java</x:v>
      </x:c>
      <x:c r="C51" s="10" t="str">
        <x:v>create</x:v>
      </x:c>
      <x:c r="D51" s="10" t="str">
        <x:v>P1</x:v>
      </x:c>
      <x:c r="E51" s="10" t="str">
        <x:v>POST /workspaces/{workspaceId}/projects</x:v>
      </x:c>
      <x:c r="F51" s="10" t="str">
        <x:v>Cookie 会话；写入需要有效 CSRF</x:v>
      </x:c>
      <x:c r="G5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1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51" s="10" t="str">
        <x:v>apps/backend/src/main/java/com/cuupe/backend/modules/project/controller/ProjectController.java:29</x:v>
      </x:c>
      <x:c r="J51" s="11" t="str">
        <x:v>未执行</x:v>
      </x:c>
      <x:c r="K51" s="11" t="str"/>
      <x:c r="L51" s="11" t="str"/>
      <x:c r="M51" s="11" t="str"/>
      <x:c r="N51" s="12"/>
      <x:c r="O51" s="11" t="str">
        <x:v>本行实际结果分开填写正常、鉴权、越权/不存在、参数四个子结果；任一必需子项未验证不能填通过</x:v>
      </x:c>
    </x:row>
    <x:row r="52" ht="52.79999923706055" hidden="0" customHeight="1">
      <x:c r="A52" s="10" t="str">
        <x:v>API-B-047</x:v>
      </x:c>
      <x:c r="B52" s="10" t="str">
        <x:v>Java</x:v>
      </x:c>
      <x:c r="C52" s="10" t="str">
        <x:v>detail</x:v>
      </x:c>
      <x:c r="D52" s="10" t="str">
        <x:v>P1</x:v>
      </x:c>
      <x:c r="E52" s="10" t="str">
        <x:v>GET /workspaces/{workspaceId}/projects/{projectId}</x:v>
      </x:c>
      <x:c r="F52" s="10" t="str">
        <x:v>Cookie 会话；写入需要有效 CSRF</x:v>
      </x:c>
      <x:c r="G5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52" s="10" t="str">
        <x:v>apps/backend/src/main/java/com/cuupe/backend/modules/project/controller/ProjectController.java:37</x:v>
      </x:c>
      <x:c r="J52" s="11" t="str">
        <x:v>未执行</x:v>
      </x:c>
      <x:c r="K52" s="11" t="str"/>
      <x:c r="L52" s="11" t="str"/>
      <x:c r="M52" s="11" t="str"/>
      <x:c r="N52" s="12"/>
      <x:c r="O52" s="11" t="str">
        <x:v>本行实际结果分开填写正常、鉴权、越权/不存在、参数四个子结果；任一必需子项未验证不能填通过</x:v>
      </x:c>
    </x:row>
    <x:row r="53" ht="52.79999923706055" hidden="0" customHeight="1">
      <x:c r="A53" s="10" t="str">
        <x:v>API-B-048</x:v>
      </x:c>
      <x:c r="B53" s="10" t="str">
        <x:v>Java</x:v>
      </x:c>
      <x:c r="C53" s="10" t="str">
        <x:v>update</x:v>
      </x:c>
      <x:c r="D53" s="10" t="str">
        <x:v>P1</x:v>
      </x:c>
      <x:c r="E53" s="10" t="str">
        <x:v>PATCH /workspaces/{workspaceId}/projects/{projectId}</x:v>
      </x:c>
      <x:c r="F53" s="10" t="str">
        <x:v>Cookie 会话；写入需要有效 CSRF</x:v>
      </x:c>
      <x:c r="G5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53" s="10" t="str">
        <x:v>apps/backend/src/main/java/com/cuupe/backend/modules/project/controller/ProjectController.java:42</x:v>
      </x:c>
      <x:c r="J53" s="11" t="str">
        <x:v>未执行</x:v>
      </x:c>
      <x:c r="K53" s="11" t="str"/>
      <x:c r="L53" s="11" t="str"/>
      <x:c r="M53" s="11" t="str"/>
      <x:c r="N53" s="12"/>
      <x:c r="O53" s="11" t="str">
        <x:v>本行实际结果分开填写正常、鉴权、越权/不存在、参数四个子结果；任一必需子项未验证不能填通过</x:v>
      </x:c>
    </x:row>
    <x:row r="54" ht="52.79999923706055" hidden="0" customHeight="1">
      <x:c r="A54" s="10" t="str">
        <x:v>API-B-049</x:v>
      </x:c>
      <x:c r="B54" s="10" t="str">
        <x:v>Java</x:v>
      </x:c>
      <x:c r="C54" s="10" t="str">
        <x:v>updateChunking</x:v>
      </x:c>
      <x:c r="D54" s="10" t="str">
        <x:v>P1</x:v>
      </x:c>
      <x:c r="E54" s="10" t="str">
        <x:v>PATCH /workspaces/{workspaceId}/projects/{projectId}/chunking</x:v>
      </x:c>
      <x:c r="F54" s="10" t="str">
        <x:v>Cookie 会话；写入需要有效 CSRF</x:v>
      </x:c>
      <x:c r="G5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54" s="10" t="str">
        <x:v>apps/backend/src/main/java/com/cuupe/backend/modules/project/controller/ProjectController.java:50</x:v>
      </x:c>
      <x:c r="J54" s="11" t="str">
        <x:v>未执行</x:v>
      </x:c>
      <x:c r="K54" s="11" t="str"/>
      <x:c r="L54" s="11" t="str"/>
      <x:c r="M54" s="11" t="str"/>
      <x:c r="N54" s="12"/>
      <x:c r="O54" s="11" t="str">
        <x:v>本行实际结果分开填写正常、鉴权、越权/不存在、参数四个子结果；任一必需子项未验证不能填通过</x:v>
      </x:c>
    </x:row>
    <x:row r="55" ht="52.79999923706055" hidden="0" customHeight="1">
      <x:c r="A55" s="10" t="str">
        <x:v>API-B-050</x:v>
      </x:c>
      <x:c r="B55" s="10" t="str">
        <x:v>Java</x:v>
      </x:c>
      <x:c r="C55" s="10" t="str">
        <x:v>delete</x:v>
      </x:c>
      <x:c r="D55" s="10" t="str">
        <x:v>P1</x:v>
      </x:c>
      <x:c r="E55" s="10" t="str">
        <x:v>DELETE /workspaces/{workspaceId}/projects/{projectId}</x:v>
      </x:c>
      <x:c r="F55" s="10" t="str">
        <x:v>Cookie 会话；写入需要有效 CSRF</x:v>
      </x:c>
      <x:c r="G5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5" s="10" t="str">
        <x:v>仅删指定 QA 对象；重复/失效删除受控；回读、关联资源与配额符合已定义清理策略
未授权/跨范围请求无读写效果；输入错误返回合理 4xx 或明确失败；拒绝情况不能 200 伪成功；内部错误不泄露凭据</x:v>
      </x:c>
      <x:c r="I55" s="10" t="str">
        <x:v>apps/backend/src/main/java/com/cuupe/backend/modules/project/controller/ProjectController.java:57</x:v>
      </x:c>
      <x:c r="J55" s="11" t="str">
        <x:v>未执行</x:v>
      </x:c>
      <x:c r="K55" s="11" t="str"/>
      <x:c r="L55" s="11" t="str"/>
      <x:c r="M55" s="11" t="str"/>
      <x:c r="N55" s="12"/>
      <x:c r="O55" s="11" t="str">
        <x:v>本行实际结果分开填写正常、鉴权、越权/不存在、参数四个子结果；任一必需子项未验证不能填通过</x:v>
      </x:c>
    </x:row>
    <x:row r="56" ht="52.79999923706055" hidden="0" customHeight="1">
      <x:c r="A56" s="10" t="str">
        <x:v>API-B-051</x:v>
      </x:c>
      <x:c r="B56" s="10" t="str">
        <x:v>Java</x:v>
      </x:c>
      <x:c r="C56" s="10" t="str">
        <x:v>archive</x:v>
      </x:c>
      <x:c r="D56" s="10" t="str">
        <x:v>P1</x:v>
      </x:c>
      <x:c r="E56" s="10" t="str">
        <x:v>PATCH /workspaces/{workspaceId}/projects/{projectId}/archive</x:v>
      </x:c>
      <x:c r="F56" s="10" t="str">
        <x:v>Cookie 会话；写入需要有效 CSRF</x:v>
      </x:c>
      <x:c r="G5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56" s="10" t="str">
        <x:v>apps/backend/src/main/java/com/cuupe/backend/modules/project/controller/ProjectController.java:65</x:v>
      </x:c>
      <x:c r="J56" s="11" t="str">
        <x:v>未执行</x:v>
      </x:c>
      <x:c r="K56" s="11" t="str"/>
      <x:c r="L56" s="11" t="str"/>
      <x:c r="M56" s="11" t="str"/>
      <x:c r="N56" s="12"/>
      <x:c r="O56" s="11" t="str">
        <x:v>本行实际结果分开填写正常、鉴权、越权/不存在、参数四个子结果；任一必需子项未验证不能填通过</x:v>
      </x:c>
    </x:row>
    <x:row r="57" ht="52.79999923706055" hidden="0" customHeight="1">
      <x:c r="A57" s="10" t="str">
        <x:v>API-B-052</x:v>
      </x:c>
      <x:c r="B57" s="10" t="str">
        <x:v>Java</x:v>
      </x:c>
      <x:c r="C57" s="10" t="str">
        <x:v>restore</x:v>
      </x:c>
      <x:c r="D57" s="10" t="str">
        <x:v>P1</x:v>
      </x:c>
      <x:c r="E57" s="10" t="str">
        <x:v>PATCH /workspaces/{workspaceId}/projects/{projectId}/restore</x:v>
      </x:c>
      <x:c r="F57" s="10" t="str">
        <x:v>Cookie 会话；写入需要有效 CSRF</x:v>
      </x:c>
      <x:c r="G5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57" s="10" t="str">
        <x:v>apps/backend/src/main/java/com/cuupe/backend/modules/project/controller/ProjectController.java:73</x:v>
      </x:c>
      <x:c r="J57" s="11" t="str">
        <x:v>未执行</x:v>
      </x:c>
      <x:c r="K57" s="11" t="str"/>
      <x:c r="L57" s="11" t="str"/>
      <x:c r="M57" s="11" t="str"/>
      <x:c r="N57" s="12"/>
      <x:c r="O57" s="11" t="str">
        <x:v>本行实际结果分开填写正常、鉴权、越权/不存在、参数四个子结果；任一必需子项未验证不能填通过</x:v>
      </x:c>
    </x:row>
    <x:row r="58" ht="52.79999923706055" hidden="0" customHeight="1">
      <x:c r="A58" s="10" t="str">
        <x:v>API-B-053</x:v>
      </x:c>
      <x:c r="B58" s="10" t="str">
        <x:v>Java</x:v>
      </x:c>
      <x:c r="C58" s="10" t="str">
        <x:v>detail</x:v>
      </x:c>
      <x:c r="D58" s="10" t="str">
        <x:v>P1</x:v>
      </x:c>
      <x:c r="E58" s="10" t="str">
        <x:v>GET /workspaces/{workspaceId}/projects/{projectId}/planning</x:v>
      </x:c>
      <x:c r="F58" s="10" t="str">
        <x:v>Cookie 会话；写入需要有效 CSRF</x:v>
      </x:c>
      <x:c r="G5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58" s="10" t="str">
        <x:v>apps/backend/src/main/java/com/cuupe/backend/modules/project/controller/ProjectPlanController.java:28</x:v>
      </x:c>
      <x:c r="J58" s="11" t="str">
        <x:v>未执行</x:v>
      </x:c>
      <x:c r="K58" s="11" t="str"/>
      <x:c r="L58" s="11" t="str"/>
      <x:c r="M58" s="11" t="str"/>
      <x:c r="N58" s="12"/>
      <x:c r="O58" s="11" t="str">
        <x:v>本行实际结果分开填写正常、鉴权、越权/不存在、参数四个子结果；任一必需子项未验证不能填通过</x:v>
      </x:c>
    </x:row>
    <x:row r="59" ht="52.79999923706055" hidden="0" customHeight="1">
      <x:c r="A59" s="10" t="str">
        <x:v>API-B-054</x:v>
      </x:c>
      <x:c r="B59" s="10" t="str">
        <x:v>Java</x:v>
      </x:c>
      <x:c r="C59" s="10" t="str">
        <x:v>save</x:v>
      </x:c>
      <x:c r="D59" s="10" t="str">
        <x:v>P1</x:v>
      </x:c>
      <x:c r="E59" s="10" t="str">
        <x:v>PUT /workspaces/{workspaceId}/projects/{projectId}/planning</x:v>
      </x:c>
      <x:c r="F59" s="10" t="str">
        <x:v>Cookie 会话；写入需要有效 CSRF</x:v>
      </x:c>
      <x:c r="G5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5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59" s="10" t="str">
        <x:v>apps/backend/src/main/java/com/cuupe/backend/modules/project/controller/ProjectPlanController.java:44</x:v>
      </x:c>
      <x:c r="J59" s="11" t="str">
        <x:v>未执行</x:v>
      </x:c>
      <x:c r="K59" s="11" t="str"/>
      <x:c r="L59" s="11" t="str"/>
      <x:c r="M59" s="11" t="str"/>
      <x:c r="N59" s="12"/>
      <x:c r="O59" s="11" t="str">
        <x:v>本行实际结果分开填写正常、鉴权、越权/不存在、参数四个子结果；任一必需子项未验证不能填通过</x:v>
      </x:c>
    </x:row>
    <x:row r="60" ht="52.79999923706055" hidden="0" customHeight="1">
      <x:c r="A60" s="10" t="str">
        <x:v>API-B-055</x:v>
      </x:c>
      <x:c r="B60" s="10" t="str">
        <x:v>Java</x:v>
      </x:c>
      <x:c r="C60" s="10" t="str">
        <x:v>policy</x:v>
      </x:c>
      <x:c r="D60" s="10" t="str">
        <x:v>P1</x:v>
      </x:c>
      <x:c r="E60" s="10" t="str">
        <x:v>GET /workspaces/{workspaceId}/projects/{projectId}/review/policy</x:v>
      </x:c>
      <x:c r="F60" s="10" t="str">
        <x:v>Cookie 会话；写入需要有效 CSRF</x:v>
      </x:c>
      <x:c r="G6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60" s="10" t="str">
        <x:v>apps/backend/src/main/java/com/cuupe/backend/modules/project/controller/ProjectReviewController.java:28</x:v>
      </x:c>
      <x:c r="J60" s="11" t="str">
        <x:v>未执行</x:v>
      </x:c>
      <x:c r="K60" s="11" t="str"/>
      <x:c r="L60" s="11" t="str"/>
      <x:c r="M60" s="11" t="str"/>
      <x:c r="N60" s="12"/>
      <x:c r="O60" s="11" t="str">
        <x:v>本行实际结果分开填写正常、鉴权、越权/不存在、参数四个子结果；任一必需子项未验证不能填通过</x:v>
      </x:c>
    </x:row>
    <x:row r="61" ht="52.79999923706055" hidden="0" customHeight="1">
      <x:c r="A61" s="10" t="str">
        <x:v>API-B-056</x:v>
      </x:c>
      <x:c r="B61" s="10" t="str">
        <x:v>Java</x:v>
      </x:c>
      <x:c r="C61" s="10" t="str">
        <x:v>savePolicy</x:v>
      </x:c>
      <x:c r="D61" s="10" t="str">
        <x:v>P1</x:v>
      </x:c>
      <x:c r="E61" s="10" t="str">
        <x:v>PUT /workspaces/{workspaceId}/projects/{projectId}/review/policy</x:v>
      </x:c>
      <x:c r="F61" s="10" t="str">
        <x:v>Cookie 会话；写入需要有效 CSRF</x:v>
      </x:c>
      <x:c r="G6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1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61" s="10" t="str">
        <x:v>apps/backend/src/main/java/com/cuupe/backend/modules/project/controller/ProjectReviewController.java:37</x:v>
      </x:c>
      <x:c r="J61" s="11" t="str">
        <x:v>未执行</x:v>
      </x:c>
      <x:c r="K61" s="11" t="str"/>
      <x:c r="L61" s="11" t="str"/>
      <x:c r="M61" s="11" t="str"/>
      <x:c r="N61" s="12"/>
      <x:c r="O61" s="11" t="str">
        <x:v>本行实际结果分开填写正常、鉴权、越权/不存在、参数四个子结果；任一必需子项未验证不能填通过</x:v>
      </x:c>
    </x:row>
    <x:row r="62" ht="52.79999923706055" hidden="0" customHeight="1">
      <x:c r="A62" s="10" t="str">
        <x:v>API-B-057</x:v>
      </x:c>
      <x:c r="B62" s="10" t="str">
        <x:v>Java</x:v>
      </x:c>
      <x:c r="C62" s="10" t="str">
        <x:v>latest</x:v>
      </x:c>
      <x:c r="D62" s="10" t="str">
        <x:v>P1</x:v>
      </x:c>
      <x:c r="E62" s="10" t="str">
        <x:v>GET /workspaces/{workspaceId}/projects/{projectId}/review/latest</x:v>
      </x:c>
      <x:c r="F62" s="10" t="str">
        <x:v>Cookie 会话；写入需要有效 CSRF</x:v>
      </x:c>
      <x:c r="G6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62" s="10" t="str">
        <x:v>apps/backend/src/main/java/com/cuupe/backend/modules/project/controller/ProjectReviewController.java:59</x:v>
      </x:c>
      <x:c r="J62" s="11" t="str">
        <x:v>未执行</x:v>
      </x:c>
      <x:c r="K62" s="11" t="str"/>
      <x:c r="L62" s="11" t="str"/>
      <x:c r="M62" s="11" t="str"/>
      <x:c r="N62" s="12"/>
      <x:c r="O62" s="11" t="str">
        <x:v>本行实际结果分开填写正常、鉴权、越权/不存在、参数四个子结果；任一必需子项未验证不能填通过</x:v>
      </x:c>
    </x:row>
    <x:row r="63" ht="52.79999923706055" hidden="0" customHeight="1">
      <x:c r="A63" s="10" t="str">
        <x:v>API-B-058</x:v>
      </x:c>
      <x:c r="B63" s="10" t="str">
        <x:v>Java</x:v>
      </x:c>
      <x:c r="C63" s="10" t="str">
        <x:v>run</x:v>
      </x:c>
      <x:c r="D63" s="10" t="str">
        <x:v>P0</x:v>
      </x:c>
      <x:c r="E63" s="10" t="str">
        <x:v>POST /workspaces/{workspaceId}/projects/{projectId}/review/runs</x:v>
      </x:c>
      <x:c r="F63" s="10" t="str">
        <x:v>Cookie 会话；写入需要有效 CSRF</x:v>
      </x:c>
      <x:c r="G6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63" s="10" t="str">
        <x:v>apps/backend/src/main/java/com/cuupe/backend/modules/project/controller/ProjectReviewController.java:67</x:v>
      </x:c>
      <x:c r="J63" s="11" t="str">
        <x:v>未执行</x:v>
      </x:c>
      <x:c r="K63" s="11" t="str"/>
      <x:c r="L63" s="11" t="str"/>
      <x:c r="M63" s="11" t="str"/>
      <x:c r="N63" s="12"/>
      <x:c r="O63" s="11" t="str">
        <x:v>本行实际结果分开填写正常、鉴权、越权/不存在、参数四个子结果；任一必需子项未验证不能填通过</x:v>
      </x:c>
    </x:row>
    <x:row r="64" ht="52.79999923706055" hidden="0" customHeight="1">
      <x:c r="A64" s="10" t="str">
        <x:v>API-B-059</x:v>
      </x:c>
      <x:c r="B64" s="10" t="str">
        <x:v>Java</x:v>
      </x:c>
      <x:c r="C64" s="10" t="str">
        <x:v>list</x:v>
      </x:c>
      <x:c r="D64" s="10" t="str">
        <x:v>P1</x:v>
      </x:c>
      <x:c r="E64" s="10" t="str">
        <x:v>GET /workspaces/{workspaceId}/projects/{projectId}/reports</x:v>
      </x:c>
      <x:c r="F64" s="10" t="str">
        <x:v>Cookie 会话；写入需要有效 CSRF</x:v>
      </x:c>
      <x:c r="G6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4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64" s="10" t="str">
        <x:v>apps/backend/src/main/java/com/cuupe/backend/modules/report/controller/ReportController.java:27</x:v>
      </x:c>
      <x:c r="J64" s="11" t="str">
        <x:v>未执行</x:v>
      </x:c>
      <x:c r="K64" s="11" t="str"/>
      <x:c r="L64" s="11" t="str"/>
      <x:c r="M64" s="11" t="str"/>
      <x:c r="N64" s="12"/>
      <x:c r="O64" s="11" t="str">
        <x:v>本行实际结果分开填写正常、鉴权、越权/不存在、参数四个子结果；任一必需子项未验证不能填通过</x:v>
      </x:c>
    </x:row>
    <x:row r="65" ht="52.79999923706055" hidden="0" customHeight="1">
      <x:c r="A65" s="10" t="str">
        <x:v>API-B-060</x:v>
      </x:c>
      <x:c r="B65" s="10" t="str">
        <x:v>Java</x:v>
      </x:c>
      <x:c r="C65" s="10" t="str">
        <x:v>detail</x:v>
      </x:c>
      <x:c r="D65" s="10" t="str">
        <x:v>P1</x:v>
      </x:c>
      <x:c r="E65" s="10" t="str">
        <x:v>GET /workspaces/{workspaceId}/projects/{projectId}/reports/{reportId}</x:v>
      </x:c>
      <x:c r="F65" s="10" t="str">
        <x:v>Cookie 会话；写入需要有效 CSRF</x:v>
      </x:c>
      <x:c r="G6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5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65" s="10" t="str">
        <x:v>apps/backend/src/main/java/com/cuupe/backend/modules/report/controller/ReportController.java:32</x:v>
      </x:c>
      <x:c r="J65" s="11" t="str">
        <x:v>未执行</x:v>
      </x:c>
      <x:c r="K65" s="11" t="str"/>
      <x:c r="L65" s="11" t="str"/>
      <x:c r="M65" s="11" t="str"/>
      <x:c r="N65" s="12"/>
      <x:c r="O65" s="11" t="str">
        <x:v>本行实际结果分开填写正常、鉴权、越权/不存在、参数四个子结果；任一必需子项未验证不能填通过</x:v>
      </x:c>
    </x:row>
    <x:row r="66" ht="52.79999923706055" hidden="0" customHeight="1">
      <x:c r="A66" s="10" t="str">
        <x:v>API-B-061</x:v>
      </x:c>
      <x:c r="B66" s="10" t="str">
        <x:v>Java</x:v>
      </x:c>
      <x:c r="C66" s="10" t="str">
        <x:v>update</x:v>
      </x:c>
      <x:c r="D66" s="10" t="str">
        <x:v>P1</x:v>
      </x:c>
      <x:c r="E66" s="10" t="str">
        <x:v>PATCH /workspaces/{workspaceId}/projects/{projectId}/reports/{reportId}</x:v>
      </x:c>
      <x:c r="F66" s="10" t="str">
        <x:v>Cookie 会话；写入需要有效 CSRF</x:v>
      </x:c>
      <x:c r="G6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66" s="10" t="str">
        <x:v>apps/backend/src/main/java/com/cuupe/backend/modules/report/controller/ReportController.java:37</x:v>
      </x:c>
      <x:c r="J66" s="11" t="str">
        <x:v>未执行</x:v>
      </x:c>
      <x:c r="K66" s="11" t="str"/>
      <x:c r="L66" s="11" t="str"/>
      <x:c r="M66" s="11" t="str"/>
      <x:c r="N66" s="12"/>
      <x:c r="O66" s="11" t="str">
        <x:v>本行实际结果分开填写正常、鉴权、越权/不存在、参数四个子结果；任一必需子项未验证不能填通过</x:v>
      </x:c>
    </x:row>
    <x:row r="67" ht="52.79999923706055" hidden="0" customHeight="1">
      <x:c r="A67" s="10" t="str">
        <x:v>API-B-062</x:v>
      </x:c>
      <x:c r="B67" s="10" t="str">
        <x:v>Java</x:v>
      </x:c>
      <x:c r="C67" s="10" t="str">
        <x:v>export</x:v>
      </x:c>
      <x:c r="D67" s="10" t="str">
        <x:v>P1</x:v>
      </x:c>
      <x:c r="E67" s="10" t="str">
        <x:v>GET /workspaces/{workspaceId}/projects/{projectId}/reports/{reportId}/export</x:v>
      </x:c>
      <x:c r="F67" s="10" t="str">
        <x:v>Cookie 会话；写入需要有效 CSRF</x:v>
      </x:c>
      <x:c r="G6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7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67" s="10" t="str">
        <x:v>apps/backend/src/main/java/com/cuupe/backend/modules/report/controller/ReportController.java:62</x:v>
      </x:c>
      <x:c r="J67" s="11" t="str">
        <x:v>未执行</x:v>
      </x:c>
      <x:c r="K67" s="11" t="str"/>
      <x:c r="L67" s="11" t="str"/>
      <x:c r="M67" s="11" t="str"/>
      <x:c r="N67" s="12"/>
      <x:c r="O67" s="11" t="str">
        <x:v>本行实际结果分开填写正常、鉴权、越权/不存在、参数四个子结果；任一必需子项未验证不能填通过</x:v>
      </x:c>
    </x:row>
    <x:row r="68" ht="52.79999923706055" hidden="0" customHeight="1">
      <x:c r="A68" s="10" t="str">
        <x:v>API-B-063</x:v>
      </x:c>
      <x:c r="B68" s="10" t="str">
        <x:v>Java</x:v>
      </x:c>
      <x:c r="C68" s="10" t="str">
        <x:v>list</x:v>
      </x:c>
      <x:c r="D68" s="10" t="str">
        <x:v>P0</x:v>
      </x:c>
      <x:c r="E68" s="10" t="str">
        <x:v>GET /workspaces/{workspaceId}/projects/{projectId}/runs</x:v>
      </x:c>
      <x:c r="F68" s="10" t="str">
        <x:v>Cookie 会话；写入需要有效 CSRF</x:v>
      </x:c>
      <x:c r="G6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68" s="10" t="str">
        <x:v>apps/backend/src/main/java/com/cuupe/backend/modules/research/controller/ResearchRunController.java:42</x:v>
      </x:c>
      <x:c r="J68" s="11" t="str">
        <x:v>未执行</x:v>
      </x:c>
      <x:c r="K68" s="11" t="str"/>
      <x:c r="L68" s="11" t="str"/>
      <x:c r="M68" s="11" t="str"/>
      <x:c r="N68" s="12"/>
      <x:c r="O68" s="11" t="str">
        <x:v>本行实际结果分开填写正常、鉴权、越权/不存在、参数四个子结果；任一必需子项未验证不能填通过</x:v>
      </x:c>
    </x:row>
    <x:row r="69" ht="52.79999923706055" hidden="0" customHeight="1">
      <x:c r="A69" s="10" t="str">
        <x:v>API-B-064</x:v>
      </x:c>
      <x:c r="B69" s="10" t="str">
        <x:v>Java</x:v>
      </x:c>
      <x:c r="C69" s="10" t="str">
        <x:v>create</x:v>
      </x:c>
      <x:c r="D69" s="10" t="str">
        <x:v>P0</x:v>
      </x:c>
      <x:c r="E69" s="10" t="str">
        <x:v>POST /workspaces/{workspaceId}/projects/{projectId}/runs</x:v>
      </x:c>
      <x:c r="F69" s="10" t="str">
        <x:v>Cookie 会话；写入需要有效 CSRF</x:v>
      </x:c>
      <x:c r="G6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6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69" s="10" t="str">
        <x:v>apps/backend/src/main/java/com/cuupe/backend/modules/research/controller/ResearchRunController.java:47</x:v>
      </x:c>
      <x:c r="J69" s="11" t="str">
        <x:v>未执行</x:v>
      </x:c>
      <x:c r="K69" s="11" t="str"/>
      <x:c r="L69" s="11" t="str"/>
      <x:c r="M69" s="11" t="str"/>
      <x:c r="N69" s="12"/>
      <x:c r="O69" s="11" t="str">
        <x:v>本行实际结果分开填写正常、鉴权、越权/不存在、参数四个子结果；任一必需子项未验证不能填通过</x:v>
      </x:c>
    </x:row>
    <x:row r="70" ht="52.79999923706055" hidden="0" customHeight="1">
      <x:c r="A70" s="10" t="str">
        <x:v>API-B-065</x:v>
      </x:c>
      <x:c r="B70" s="10" t="str">
        <x:v>Java</x:v>
      </x:c>
      <x:c r="C70" s="10" t="str">
        <x:v>detail</x:v>
      </x:c>
      <x:c r="D70" s="10" t="str">
        <x:v>P0</x:v>
      </x:c>
      <x:c r="E70" s="10" t="str">
        <x:v>GET /workspaces/{workspaceId}/projects/{projectId}/runs/{runId}</x:v>
      </x:c>
      <x:c r="F70" s="10" t="str">
        <x:v>Cookie 会话；写入需要有效 CSRF</x:v>
      </x:c>
      <x:c r="G7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70" s="10" t="str">
        <x:v>apps/backend/src/main/java/com/cuupe/backend/modules/research/controller/ResearchRunController.java:81</x:v>
      </x:c>
      <x:c r="J70" s="11" t="str">
        <x:v>未执行</x:v>
      </x:c>
      <x:c r="K70" s="11" t="str"/>
      <x:c r="L70" s="11" t="str"/>
      <x:c r="M70" s="11" t="str"/>
      <x:c r="N70" s="12"/>
      <x:c r="O70" s="11" t="str">
        <x:v>本行实际结果分开填写正常、鉴权、越权/不存在、参数四个子结果；任一必需子项未验证不能填通过</x:v>
      </x:c>
    </x:row>
    <x:row r="71" ht="52.79999923706055" hidden="0" customHeight="1">
      <x:c r="A71" s="10" t="str">
        <x:v>API-B-066</x:v>
      </x:c>
      <x:c r="B71" s="10" t="str">
        <x:v>Java</x:v>
      </x:c>
      <x:c r="C71" s="10" t="str">
        <x:v>cancel</x:v>
      </x:c>
      <x:c r="D71" s="10" t="str">
        <x:v>P0</x:v>
      </x:c>
      <x:c r="E71" s="10" t="str">
        <x:v>POST /workspaces/{workspaceId}/projects/{projectId}/runs/{runId}/cancel</x:v>
      </x:c>
      <x:c r="F71" s="10" t="str">
        <x:v>Cookie 会话；写入需要有效 CSRF</x:v>
      </x:c>
      <x:c r="G7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1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71" s="10" t="str">
        <x:v>apps/backend/src/main/java/com/cuupe/backend/modules/research/controller/ResearchRunController.java:99</x:v>
      </x:c>
      <x:c r="J71" s="11" t="str">
        <x:v>未执行</x:v>
      </x:c>
      <x:c r="K71" s="11" t="str"/>
      <x:c r="L71" s="11" t="str"/>
      <x:c r="M71" s="11" t="str"/>
      <x:c r="N71" s="12"/>
      <x:c r="O71" s="11" t="str">
        <x:v>本行实际结果分开填写正常、鉴权、越权/不存在、参数四个子结果；任一必需子项未验证不能填通过</x:v>
      </x:c>
    </x:row>
    <x:row r="72" ht="52.79999923706055" hidden="0" customHeight="1">
      <x:c r="A72" s="10" t="str">
        <x:v>API-B-067</x:v>
      </x:c>
      <x:c r="B72" s="10" t="str">
        <x:v>Java</x:v>
      </x:c>
      <x:c r="C72" s="10" t="str">
        <x:v>retry</x:v>
      </x:c>
      <x:c r="D72" s="10" t="str">
        <x:v>P0</x:v>
      </x:c>
      <x:c r="E72" s="10" t="str">
        <x:v>POST /workspaces/{workspaceId}/projects/{projectId}/runs/{runId}/retry</x:v>
      </x:c>
      <x:c r="F72" s="10" t="str">
        <x:v>Cookie 会话；写入需要有效 CSRF</x:v>
      </x:c>
      <x:c r="G7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2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72" s="10" t="str">
        <x:v>apps/backend/src/main/java/com/cuupe/backend/modules/research/controller/ResearchRunController.java:113</x:v>
      </x:c>
      <x:c r="J72" s="11" t="str">
        <x:v>未执行</x:v>
      </x:c>
      <x:c r="K72" s="11" t="str"/>
      <x:c r="L72" s="11" t="str"/>
      <x:c r="M72" s="11" t="str"/>
      <x:c r="N72" s="12"/>
      <x:c r="O72" s="11" t="str">
        <x:v>本行实际结果分开填写正常、鉴权、越权/不存在、参数四个子结果；任一必需子项未验证不能填通过</x:v>
      </x:c>
    </x:row>
    <x:row r="73" ht="52.79999923706055" hidden="0" customHeight="1">
      <x:c r="A73" s="10" t="str">
        <x:v>API-B-068</x:v>
      </x:c>
      <x:c r="B73" s="10" t="str">
        <x:v>Java</x:v>
      </x:c>
      <x:c r="C73" s="10" t="str">
        <x:v>updatePlan</x:v>
      </x:c>
      <x:c r="D73" s="10" t="str">
        <x:v>P0</x:v>
      </x:c>
      <x:c r="E73" s="10" t="str">
        <x:v>PATCH /workspaces/{workspaceId}/projects/{projectId}/runs/{runId}/plan</x:v>
      </x:c>
      <x:c r="F73" s="10" t="str">
        <x:v>Cookie 会话；写入需要有效 CSRF</x:v>
      </x:c>
      <x:c r="G7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73" s="10" t="str">
        <x:v>apps/backend/src/main/java/com/cuupe/backend/modules/research/controller/ResearchRunController.java:127</x:v>
      </x:c>
      <x:c r="J73" s="11" t="str">
        <x:v>未执行</x:v>
      </x:c>
      <x:c r="K73" s="11" t="str"/>
      <x:c r="L73" s="11" t="str"/>
      <x:c r="M73" s="11" t="str"/>
      <x:c r="N73" s="12"/>
      <x:c r="O73" s="11" t="str">
        <x:v>本行实际结果分开填写正常、鉴权、越权/不存在、参数四个子结果；任一必需子项未验证不能填通过</x:v>
      </x:c>
    </x:row>
    <x:row r="74" ht="52.79999923706055" hidden="0" customHeight="1">
      <x:c r="A74" s="10" t="str">
        <x:v>API-B-069</x:v>
      </x:c>
      <x:c r="B74" s="10" t="str">
        <x:v>Java</x:v>
      </x:c>
      <x:c r="C74" s="10" t="str">
        <x:v>cases</x:v>
      </x:c>
      <x:c r="D74" s="10" t="str">
        <x:v>P1</x:v>
      </x:c>
      <x:c r="E74" s="10" t="str">
        <x:v>GET /workspaces/{workspaceId}/security-harness/cases</x:v>
      </x:c>
      <x:c r="F74" s="10" t="str">
        <x:v>Cookie 会话；写入需要有效 CSRF</x:v>
      </x:c>
      <x:c r="G7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4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74" s="10" t="str">
        <x:v>apps/backend/src/main/java/com/cuupe/backend/modules/security/controller/SecurityHarnessController.java:48</x:v>
      </x:c>
      <x:c r="J74" s="11" t="str">
        <x:v>未执行</x:v>
      </x:c>
      <x:c r="K74" s="11" t="str"/>
      <x:c r="L74" s="11" t="str"/>
      <x:c r="M74" s="11" t="str"/>
      <x:c r="N74" s="12"/>
      <x:c r="O74" s="11" t="str">
        <x:v>本行实际结果分开填写正常、鉴权、越权/不存在、参数四个子结果；任一必需子项未验证不能填通过</x:v>
      </x:c>
    </x:row>
    <x:row r="75" ht="52.79999923706055" hidden="0" customHeight="1">
      <x:c r="A75" s="10" t="str">
        <x:v>API-B-070</x:v>
      </x:c>
      <x:c r="B75" s="10" t="str">
        <x:v>Java</x:v>
      </x:c>
      <x:c r="C75" s="10" t="str">
        <x:v>start</x:v>
      </x:c>
      <x:c r="D75" s="10" t="str">
        <x:v>P0</x:v>
      </x:c>
      <x:c r="E75" s="10" t="str">
        <x:v>POST /workspaces/{workspaceId}/security-harness/runs</x:v>
      </x:c>
      <x:c r="F75" s="10" t="str">
        <x:v>Cookie 会话；写入需要有效 CSRF</x:v>
      </x:c>
      <x:c r="G7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75" s="10" t="str">
        <x:v>apps/backend/src/main/java/com/cuupe/backend/modules/security/controller/SecurityHarnessController.java:54</x:v>
      </x:c>
      <x:c r="J75" s="11" t="str">
        <x:v>未执行</x:v>
      </x:c>
      <x:c r="K75" s="11" t="str"/>
      <x:c r="L75" s="11" t="str"/>
      <x:c r="M75" s="11" t="str"/>
      <x:c r="N75" s="12"/>
      <x:c r="O75" s="11" t="str">
        <x:v>本行实际结果分开填写正常、鉴权、越权/不存在、参数四个子结果；任一必需子项未验证不能填通过</x:v>
      </x:c>
    </x:row>
    <x:row r="76" ht="52.79999923706055" hidden="0" customHeight="1">
      <x:c r="A76" s="10" t="str">
        <x:v>API-B-071</x:v>
      </x:c>
      <x:c r="B76" s="10" t="str">
        <x:v>Java</x:v>
      </x:c>
      <x:c r="C76" s="10" t="str">
        <x:v>runs</x:v>
      </x:c>
      <x:c r="D76" s="10" t="str">
        <x:v>P0</x:v>
      </x:c>
      <x:c r="E76" s="10" t="str">
        <x:v>GET /workspaces/{workspaceId}/security-harness/runs</x:v>
      </x:c>
      <x:c r="F76" s="10" t="str">
        <x:v>Cookie 会话；写入需要有效 CSRF</x:v>
      </x:c>
      <x:c r="G7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6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76" s="10" t="str">
        <x:v>apps/backend/src/main/java/com/cuupe/backend/modules/security/controller/SecurityHarnessController.java:73</x:v>
      </x:c>
      <x:c r="J76" s="11" t="str">
        <x:v>未执行</x:v>
      </x:c>
      <x:c r="K76" s="11" t="str"/>
      <x:c r="L76" s="11" t="str"/>
      <x:c r="M76" s="11" t="str"/>
      <x:c r="N76" s="12"/>
      <x:c r="O76" s="11" t="str">
        <x:v>本行实际结果分开填写正常、鉴权、越权/不存在、参数四个子结果；任一必需子项未验证不能填通过</x:v>
      </x:c>
    </x:row>
    <x:row r="77" ht="52.79999923706055" hidden="0" customHeight="1">
      <x:c r="A77" s="10" t="str">
        <x:v>API-B-072</x:v>
      </x:c>
      <x:c r="B77" s="10" t="str">
        <x:v>Java</x:v>
      </x:c>
      <x:c r="C77" s="10" t="str">
        <x:v>detail</x:v>
      </x:c>
      <x:c r="D77" s="10" t="str">
        <x:v>P0</x:v>
      </x:c>
      <x:c r="E77" s="10" t="str">
        <x:v>GET /workspaces/{workspaceId}/security-harness/runs/{runId}</x:v>
      </x:c>
      <x:c r="F77" s="10" t="str">
        <x:v>Cookie 会话；写入需要有效 CSRF</x:v>
      </x:c>
      <x:c r="G7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7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77" s="10" t="str">
        <x:v>apps/backend/src/main/java/com/cuupe/backend/modules/security/controller/SecurityHarnessController.java:79</x:v>
      </x:c>
      <x:c r="J77" s="11" t="str">
        <x:v>未执行</x:v>
      </x:c>
      <x:c r="K77" s="11" t="str"/>
      <x:c r="L77" s="11" t="str"/>
      <x:c r="M77" s="11" t="str"/>
      <x:c r="N77" s="12"/>
      <x:c r="O77" s="11" t="str">
        <x:v>本行实际结果分开填写正常、鉴权、越权/不存在、参数四个子结果；任一必需子项未验证不能填通过</x:v>
      </x:c>
    </x:row>
    <x:row r="78" ht="52.79999923706055" hidden="0" customHeight="1">
      <x:c r="A78" s="10" t="str">
        <x:v>API-B-073</x:v>
      </x:c>
      <x:c r="B78" s="10" t="str">
        <x:v>Java</x:v>
      </x:c>
      <x:c r="C78" s="10" t="str">
        <x:v>models</x:v>
      </x:c>
      <x:c r="D78" s="10" t="str">
        <x:v>P1</x:v>
      </x:c>
      <x:c r="E78" s="10" t="str">
        <x:v>GET /workspaces/{workspaceId}/projects/{projectId}/settings/models</x:v>
      </x:c>
      <x:c r="F78" s="10" t="str">
        <x:v>Cookie 会话；写入需要有效 CSRF</x:v>
      </x:c>
      <x:c r="G7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78" s="10" t="str">
        <x:v>apps/backend/src/main/java/com/cuupe/backend/modules/settings/controller/ProjectSettingsController.java:38</x:v>
      </x:c>
      <x:c r="J78" s="11" t="str">
        <x:v>未执行</x:v>
      </x:c>
      <x:c r="K78" s="11" t="str"/>
      <x:c r="L78" s="11" t="str"/>
      <x:c r="M78" s="11" t="str"/>
      <x:c r="N78" s="12"/>
      <x:c r="O78" s="11" t="str">
        <x:v>本行实际结果分开填写正常、鉴权、越权/不存在、参数四个子结果；任一必需子项未验证不能填通过</x:v>
      </x:c>
    </x:row>
    <x:row r="79" ht="52.79999923706055" hidden="0" customHeight="1">
      <x:c r="A79" s="10" t="str">
        <x:v>API-B-074</x:v>
      </x:c>
      <x:c r="B79" s="10" t="str">
        <x:v>Java</x:v>
      </x:c>
      <x:c r="C79" s="10" t="str">
        <x:v>tools</x:v>
      </x:c>
      <x:c r="D79" s="10" t="str">
        <x:v>P1</x:v>
      </x:c>
      <x:c r="E79" s="10" t="str">
        <x:v>GET /workspaces/{workspaceId}/projects/{projectId}/settings/tools</x:v>
      </x:c>
      <x:c r="F79" s="10" t="str">
        <x:v>Cookie 会话；写入需要有效 CSRF</x:v>
      </x:c>
      <x:c r="G7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79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79" s="10" t="str">
        <x:v>apps/backend/src/main/java/com/cuupe/backend/modules/settings/controller/ProjectSettingsController.java:45</x:v>
      </x:c>
      <x:c r="J79" s="11" t="str">
        <x:v>未执行</x:v>
      </x:c>
      <x:c r="K79" s="11" t="str"/>
      <x:c r="L79" s="11" t="str"/>
      <x:c r="M79" s="11" t="str"/>
      <x:c r="N79" s="12"/>
      <x:c r="O79" s="11" t="str">
        <x:v>本行实际结果分开填写正常、鉴权、越权/不存在、参数四个子结果；任一必需子项未验证不能填通过</x:v>
      </x:c>
    </x:row>
    <x:row r="80" ht="52.79999923706055" hidden="0" customHeight="1">
      <x:c r="A80" s="10" t="str">
        <x:v>API-B-075</x:v>
      </x:c>
      <x:c r="B80" s="10" t="str">
        <x:v>Java</x:v>
      </x:c>
      <x:c r="C80" s="10" t="str">
        <x:v>localTools</x:v>
      </x:c>
      <x:c r="D80" s="10" t="str">
        <x:v>P1</x:v>
      </x:c>
      <x:c r="E80" s="10" t="str">
        <x:v>GET /workspaces/{workspaceId}/projects/{projectId}/settings/local-tools</x:v>
      </x:c>
      <x:c r="F80" s="10" t="str">
        <x:v>Cookie 会话；写入需要有效 CSRF</x:v>
      </x:c>
      <x:c r="G8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80" s="10" t="str">
        <x:v>apps/backend/src/main/java/com/cuupe/backend/modules/settings/controller/ProjectSettingsController.java:50</x:v>
      </x:c>
      <x:c r="J80" s="11" t="str">
        <x:v>未执行</x:v>
      </x:c>
      <x:c r="K80" s="11" t="str"/>
      <x:c r="L80" s="11" t="str"/>
      <x:c r="M80" s="11" t="str"/>
      <x:c r="N80" s="12"/>
      <x:c r="O80" s="11" t="str">
        <x:v>本行实际结果分开填写正常、鉴权、越权/不存在、参数四个子结果；任一必需子项未验证不能填通过</x:v>
      </x:c>
    </x:row>
    <x:row r="81" ht="52.79999923706055" hidden="0" customHeight="1">
      <x:c r="A81" s="10" t="str">
        <x:v>API-B-076</x:v>
      </x:c>
      <x:c r="B81" s="10" t="str">
        <x:v>Java</x:v>
      </x:c>
      <x:c r="C81" s="10" t="str">
        <x:v>reloadLocalTools</x:v>
      </x:c>
      <x:c r="D81" s="10" t="str">
        <x:v>P1</x:v>
      </x:c>
      <x:c r="E81" s="10" t="str">
        <x:v>POST /workspaces/{workspaceId}/projects/{projectId}/settings/local-tools/reload</x:v>
      </x:c>
      <x:c r="F81" s="10" t="str">
        <x:v>Cookie 会话；写入需要有效 CSRF</x:v>
      </x:c>
      <x:c r="G8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1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81" s="10" t="str">
        <x:v>apps/backend/src/main/java/com/cuupe/backend/modules/settings/controller/ProjectSettingsController.java:62</x:v>
      </x:c>
      <x:c r="J81" s="11" t="str">
        <x:v>未执行</x:v>
      </x:c>
      <x:c r="K81" s="11" t="str"/>
      <x:c r="L81" s="11" t="str"/>
      <x:c r="M81" s="11" t="str"/>
      <x:c r="N81" s="12"/>
      <x:c r="O81" s="11" t="str">
        <x:v>本行实际结果分开填写正常、鉴权、越权/不存在、参数四个子结果；任一必需子项未验证不能填通过</x:v>
      </x:c>
    </x:row>
    <x:row r="82" ht="52.79999923706055" hidden="0" customHeight="1">
      <x:c r="A82" s="10" t="str">
        <x:v>API-B-077</x:v>
      </x:c>
      <x:c r="B82" s="10" t="str">
        <x:v>Java</x:v>
      </x:c>
      <x:c r="C82" s="10" t="str">
        <x:v>createTool</x:v>
      </x:c>
      <x:c r="D82" s="10" t="str">
        <x:v>P1</x:v>
      </x:c>
      <x:c r="E82" s="10" t="str">
        <x:v>POST /workspaces/{workspaceId}/projects/{projectId}/settings/tools</x:v>
      </x:c>
      <x:c r="F82" s="10" t="str">
        <x:v>Cookie 会话；写入需要有效 CSRF</x:v>
      </x:c>
      <x:c r="G8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2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82" s="10" t="str">
        <x:v>apps/backend/src/main/java/com/cuupe/backend/modules/settings/controller/ProjectSettingsController.java:74</x:v>
      </x:c>
      <x:c r="J82" s="11" t="str">
        <x:v>未执行</x:v>
      </x:c>
      <x:c r="K82" s="11" t="str"/>
      <x:c r="L82" s="11" t="str"/>
      <x:c r="M82" s="11" t="str"/>
      <x:c r="N82" s="12"/>
      <x:c r="O82" s="11" t="str">
        <x:v>本行实际结果分开填写正常、鉴权、越权/不存在、参数四个子结果；任一必需子项未验证不能填通过</x:v>
      </x:c>
    </x:row>
    <x:row r="83" ht="52.79999923706055" hidden="0" customHeight="1">
      <x:c r="A83" s="10" t="str">
        <x:v>API-B-078</x:v>
      </x:c>
      <x:c r="B83" s="10" t="str">
        <x:v>Java</x:v>
      </x:c>
      <x:c r="C83" s="10" t="str">
        <x:v>updateTool</x:v>
      </x:c>
      <x:c r="D83" s="10" t="str">
        <x:v>P1</x:v>
      </x:c>
      <x:c r="E83" s="10" t="str">
        <x:v>PATCH /workspaces/{workspaceId}/projects/{projectId}/settings/tools/{id}</x:v>
      </x:c>
      <x:c r="F83" s="10" t="str">
        <x:v>Cookie 会话；写入需要有效 CSRF</x:v>
      </x:c>
      <x:c r="G8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83" s="10" t="str">
        <x:v>apps/backend/src/main/java/com/cuupe/backend/modules/settings/controller/ProjectSettingsController.java:98</x:v>
      </x:c>
      <x:c r="J83" s="11" t="str">
        <x:v>未执行</x:v>
      </x:c>
      <x:c r="K83" s="11" t="str"/>
      <x:c r="L83" s="11" t="str"/>
      <x:c r="M83" s="11" t="str"/>
      <x:c r="N83" s="12"/>
      <x:c r="O83" s="11" t="str">
        <x:v>本行实际结果分开填写正常、鉴权、越权/不存在、参数四个子结果；任一必需子项未验证不能填通过</x:v>
      </x:c>
    </x:row>
    <x:row r="84" ht="52.79999923706055" hidden="0" customHeight="1">
      <x:c r="A84" s="10" t="str">
        <x:v>API-B-079</x:v>
      </x:c>
      <x:c r="B84" s="10" t="str">
        <x:v>Java</x:v>
      </x:c>
      <x:c r="C84" s="10" t="str">
        <x:v>deleteTool</x:v>
      </x:c>
      <x:c r="D84" s="10" t="str">
        <x:v>P1</x:v>
      </x:c>
      <x:c r="E84" s="10" t="str">
        <x:v>DELETE /workspaces/{workspaceId}/projects/{projectId}/settings/tools/{id}</x:v>
      </x:c>
      <x:c r="F84" s="10" t="str">
        <x:v>Cookie 会话；写入需要有效 CSRF</x:v>
      </x:c>
      <x:c r="G8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4" s="10" t="str">
        <x:v>仅删指定 QA 对象；重复/失效删除受控；回读、关联资源与配额符合已定义清理策略
未授权/跨范围请求无读写效果；输入错误返回合理 4xx 或明确失败；拒绝情况不能 200 伪成功；内部错误不泄露凭据</x:v>
      </x:c>
      <x:c r="I84" s="10" t="str">
        <x:v>apps/backend/src/main/java/com/cuupe/backend/modules/settings/controller/ProjectSettingsController.java:121</x:v>
      </x:c>
      <x:c r="J84" s="11" t="str">
        <x:v>未执行</x:v>
      </x:c>
      <x:c r="K84" s="11" t="str"/>
      <x:c r="L84" s="11" t="str"/>
      <x:c r="M84" s="11" t="str"/>
      <x:c r="N84" s="12"/>
      <x:c r="O84" s="11" t="str">
        <x:v>本行实际结果分开填写正常、鉴权、越权/不存在、参数四个子结果；任一必需子项未验证不能填通过</x:v>
      </x:c>
    </x:row>
    <x:row r="85" ht="52.79999923706055" hidden="0" customHeight="1">
      <x:c r="A85" s="10" t="str">
        <x:v>API-B-080</x:v>
      </x:c>
      <x:c r="B85" s="10" t="str">
        <x:v>Java</x:v>
      </x:c>
      <x:c r="C85" s="10" t="str">
        <x:v>get</x:v>
      </x:c>
      <x:c r="D85" s="10" t="str">
        <x:v>P1</x:v>
      </x:c>
      <x:c r="E85" s="10" t="str">
        <x:v>GET /workspaces/{workspaceId}/projects/{projectId}/settings/web-search</x:v>
      </x:c>
      <x:c r="F85" s="10" t="str">
        <x:v>Cookie 会话；写入需要有效 CSRF</x:v>
      </x:c>
      <x:c r="G8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5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85" s="10" t="str">
        <x:v>apps/backend/src/main/java/com/cuupe/backend/modules/settings/controller/WebSearchSettingsController.java:34</x:v>
      </x:c>
      <x:c r="J85" s="11" t="str">
        <x:v>未执行</x:v>
      </x:c>
      <x:c r="K85" s="11" t="str"/>
      <x:c r="L85" s="11" t="str"/>
      <x:c r="M85" s="11" t="str"/>
      <x:c r="N85" s="12"/>
      <x:c r="O85" s="11" t="str">
        <x:v>本行实际结果分开填写正常、鉴权、越权/不存在、参数四个子结果；任一必需子项未验证不能填通过</x:v>
      </x:c>
    </x:row>
    <x:row r="86" ht="52.79999923706055" hidden="0" customHeight="1">
      <x:c r="A86" s="10" t="str">
        <x:v>API-B-081</x:v>
      </x:c>
      <x:c r="B86" s="10" t="str">
        <x:v>Java</x:v>
      </x:c>
      <x:c r="C86" s="10" t="str">
        <x:v>save</x:v>
      </x:c>
      <x:c r="D86" s="10" t="str">
        <x:v>P1</x:v>
      </x:c>
      <x:c r="E86" s="10" t="str">
        <x:v>PUT /workspaces/{workspaceId}/projects/{projectId}/settings/web-search</x:v>
      </x:c>
      <x:c r="F86" s="10" t="str">
        <x:v>Cookie 会话；写入需要有效 CSRF</x:v>
      </x:c>
      <x:c r="G8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86" s="10" t="str">
        <x:v>apps/backend/src/main/java/com/cuupe/backend/modules/settings/controller/WebSearchSettingsController.java:42</x:v>
      </x:c>
      <x:c r="J86" s="11" t="str">
        <x:v>未执行</x:v>
      </x:c>
      <x:c r="K86" s="11" t="str"/>
      <x:c r="L86" s="11" t="str"/>
      <x:c r="M86" s="11" t="str"/>
      <x:c r="N86" s="12"/>
      <x:c r="O86" s="11" t="str">
        <x:v>本行实际结果分开填写正常、鉴权、越权/不存在、参数四个子结果；任一必需子项未验证不能填通过</x:v>
      </x:c>
    </x:row>
    <x:row r="87" ht="52.79999923706055" hidden="0" customHeight="1">
      <x:c r="A87" s="10" t="str">
        <x:v>API-B-082</x:v>
      </x:c>
      <x:c r="B87" s="10" t="str">
        <x:v>Java</x:v>
      </x:c>
      <x:c r="C87" s="10" t="str">
        <x:v>test</x:v>
      </x:c>
      <x:c r="D87" s="10" t="str">
        <x:v>P1</x:v>
      </x:c>
      <x:c r="E87" s="10" t="str">
        <x:v>POST /workspaces/{workspaceId}/projects/{projectId}/settings/web-search/test</x:v>
      </x:c>
      <x:c r="F87" s="10" t="str">
        <x:v>Cookie 会话；写入需要有效 CSRF</x:v>
      </x:c>
      <x:c r="G8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87" s="10" t="str">
        <x:v>apps/backend/src/main/java/com/cuupe/backend/modules/settings/controller/WebSearchSettingsController.java:85</x:v>
      </x:c>
      <x:c r="J87" s="11" t="str">
        <x:v>未执行</x:v>
      </x:c>
      <x:c r="K87" s="11" t="str"/>
      <x:c r="L87" s="11" t="str"/>
      <x:c r="M87" s="11" t="str"/>
      <x:c r="N87" s="12"/>
      <x:c r="O87" s="11" t="str">
        <x:v>本行实际结果分开填写正常、鉴权、越权/不存在、参数四个子结果；任一必需子项未验证不能填通过</x:v>
      </x:c>
    </x:row>
    <x:row r="88" ht="52.79999923706055" hidden="0" customHeight="1">
      <x:c r="A88" s="10" t="str">
        <x:v>API-B-083</x:v>
      </x:c>
      <x:c r="B88" s="10" t="str">
        <x:v>Java</x:v>
      </x:c>
      <x:c r="C88" s="10" t="str">
        <x:v>list</x:v>
      </x:c>
      <x:c r="D88" s="10" t="str">
        <x:v>P1</x:v>
      </x:c>
      <x:c r="E88" s="10" t="str">
        <x:v>GET /workspaces/{workspaceId}/settings/models</x:v>
      </x:c>
      <x:c r="F88" s="10" t="str">
        <x:v>Cookie 会话；写入需要有效 CSRF</x:v>
      </x:c>
      <x:c r="G8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88" s="10" t="str">
        <x:v>apps/backend/src/main/java/com/cuupe/backend/modules/settings/controller/WorkspaceModelSettingsController.java:39</x:v>
      </x:c>
      <x:c r="J88" s="11" t="str">
        <x:v>未执行</x:v>
      </x:c>
      <x:c r="K88" s="11" t="str"/>
      <x:c r="L88" s="11" t="str"/>
      <x:c r="M88" s="11" t="str"/>
      <x:c r="N88" s="12"/>
      <x:c r="O88" s="11" t="str">
        <x:v>本行实际结果分开填写正常、鉴权、越权/不存在、参数四个子结果；任一必需子项未验证不能填通过</x:v>
      </x:c>
    </x:row>
    <x:row r="89" ht="52.79999923706055" hidden="0" customHeight="1">
      <x:c r="A89" s="10" t="str">
        <x:v>API-B-084</x:v>
      </x:c>
      <x:c r="B89" s="10" t="str">
        <x:v>Java</x:v>
      </x:c>
      <x:c r="C89" s="10" t="str">
        <x:v>create</x:v>
      </x:c>
      <x:c r="D89" s="10" t="str">
        <x:v>P1</x:v>
      </x:c>
      <x:c r="E89" s="10" t="str">
        <x:v>POST /workspaces/{workspaceId}/settings/models</x:v>
      </x:c>
      <x:c r="F89" s="10" t="str">
        <x:v>Cookie 会话；写入需要有效 CSRF</x:v>
      </x:c>
      <x:c r="G8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8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89" s="10" t="str">
        <x:v>apps/backend/src/main/java/com/cuupe/backend/modules/settings/controller/WorkspaceModelSettingsController.java:46</x:v>
      </x:c>
      <x:c r="J89" s="11" t="str">
        <x:v>未执行</x:v>
      </x:c>
      <x:c r="K89" s="11" t="str"/>
      <x:c r="L89" s="11" t="str"/>
      <x:c r="M89" s="11" t="str"/>
      <x:c r="N89" s="12"/>
      <x:c r="O89" s="11" t="str">
        <x:v>本行实际结果分开填写正常、鉴权、越权/不存在、参数四个子结果；任一必需子项未验证不能填通过</x:v>
      </x:c>
    </x:row>
    <x:row r="90" ht="52.79999923706055" hidden="0" customHeight="1">
      <x:c r="A90" s="10" t="str">
        <x:v>API-B-085</x:v>
      </x:c>
      <x:c r="B90" s="10" t="str">
        <x:v>Java</x:v>
      </x:c>
      <x:c r="C90" s="10" t="str">
        <x:v>update</x:v>
      </x:c>
      <x:c r="D90" s="10" t="str">
        <x:v>P1</x:v>
      </x:c>
      <x:c r="E90" s="10" t="str">
        <x:v>PATCH /workspaces/{workspaceId}/settings/models/{id}</x:v>
      </x:c>
      <x:c r="F90" s="10" t="str">
        <x:v>Cookie 会话；写入需要有效 CSRF</x:v>
      </x:c>
      <x:c r="G9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0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90" s="10" t="str">
        <x:v>apps/backend/src/main/java/com/cuupe/backend/modules/settings/controller/WorkspaceModelSettingsController.java:70</x:v>
      </x:c>
      <x:c r="J90" s="11" t="str">
        <x:v>未执行</x:v>
      </x:c>
      <x:c r="K90" s="11" t="str"/>
      <x:c r="L90" s="11" t="str"/>
      <x:c r="M90" s="11" t="str"/>
      <x:c r="N90" s="12"/>
      <x:c r="O90" s="11" t="str">
        <x:v>本行实际结果分开填写正常、鉴权、越权/不存在、参数四个子结果；任一必需子项未验证不能填通过</x:v>
      </x:c>
    </x:row>
    <x:row r="91" ht="52.79999923706055" hidden="0" customHeight="1">
      <x:c r="A91" s="10" t="str">
        <x:v>API-B-086</x:v>
      </x:c>
      <x:c r="B91" s="10" t="str">
        <x:v>Java</x:v>
      </x:c>
      <x:c r="C91" s="10" t="str">
        <x:v>delete</x:v>
      </x:c>
      <x:c r="D91" s="10" t="str">
        <x:v>P1</x:v>
      </x:c>
      <x:c r="E91" s="10" t="str">
        <x:v>DELETE /workspaces/{workspaceId}/settings/models/{id}</x:v>
      </x:c>
      <x:c r="F91" s="10" t="str">
        <x:v>Cookie 会话；写入需要有效 CSRF</x:v>
      </x:c>
      <x:c r="G9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1" s="10" t="str">
        <x:v>仅删指定 QA 对象；重复/失效删除受控；回读、关联资源与配额符合已定义清理策略
未授权/跨范围请求无读写效果；输入错误返回合理 4xx 或明确失败；拒绝情况不能 200 伪成功；内部错误不泄露凭据</x:v>
      </x:c>
      <x:c r="I91" s="10" t="str">
        <x:v>apps/backend/src/main/java/com/cuupe/backend/modules/settings/controller/WorkspaceModelSettingsController.java:94</x:v>
      </x:c>
      <x:c r="J91" s="11" t="str">
        <x:v>未执行</x:v>
      </x:c>
      <x:c r="K91" s="11" t="str"/>
      <x:c r="L91" s="11" t="str"/>
      <x:c r="M91" s="11" t="str"/>
      <x:c r="N91" s="12"/>
      <x:c r="O91" s="11" t="str">
        <x:v>本行实际结果分开填写正常、鉴权、越权/不存在、参数四个子结果；任一必需子项未验证不能填通过</x:v>
      </x:c>
    </x:row>
    <x:row r="92" ht="52.79999923706055" hidden="0" customHeight="1">
      <x:c r="A92" s="10" t="str">
        <x:v>API-B-087</x:v>
      </x:c>
      <x:c r="B92" s="10" t="str">
        <x:v>Java</x:v>
      </x:c>
      <x:c r="C92" s="10" t="str">
        <x:v>setDefault</x:v>
      </x:c>
      <x:c r="D92" s="10" t="str">
        <x:v>P1</x:v>
      </x:c>
      <x:c r="E92" s="10" t="str">
        <x:v>PUT /workspaces/{workspaceId}/settings/models/default</x:v>
      </x:c>
      <x:c r="F92" s="10" t="str">
        <x:v>Cookie 会话；写入需要有效 CSRF</x:v>
      </x:c>
      <x:c r="G9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2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92" s="10" t="str">
        <x:v>apps/backend/src/main/java/com/cuupe/backend/modules/settings/controller/WorkspaceModelSettingsController.java:103</x:v>
      </x:c>
      <x:c r="J92" s="11" t="str">
        <x:v>未执行</x:v>
      </x:c>
      <x:c r="K92" s="11" t="str"/>
      <x:c r="L92" s="11" t="str"/>
      <x:c r="M92" s="11" t="str"/>
      <x:c r="N92" s="12"/>
      <x:c r="O92" s="11" t="str">
        <x:v>本行实际结果分开填写正常、鉴权、越权/不存在、参数四个子结果；任一必需子项未验证不能填通过</x:v>
      </x:c>
    </x:row>
    <x:row r="93" ht="52.79999923706055" hidden="0" customHeight="1">
      <x:c r="A93" s="10" t="str">
        <x:v>API-B-088</x:v>
      </x:c>
      <x:c r="B93" s="10" t="str">
        <x:v>Java</x:v>
      </x:c>
      <x:c r="C93" s="10" t="str">
        <x:v>test</x:v>
      </x:c>
      <x:c r="D93" s="10" t="str">
        <x:v>P1</x:v>
      </x:c>
      <x:c r="E93" s="10" t="str">
        <x:v>POST /workspaces/{workspaceId}/settings/models/{id}/test</x:v>
      </x:c>
      <x:c r="F93" s="10" t="str">
        <x:v>Cookie 会话；写入需要有效 CSRF</x:v>
      </x:c>
      <x:c r="G9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93" s="10" t="str">
        <x:v>apps/backend/src/main/java/com/cuupe/backend/modules/settings/controller/WorkspaceModelSettingsController.java:123</x:v>
      </x:c>
      <x:c r="J93" s="11" t="str">
        <x:v>未执行</x:v>
      </x:c>
      <x:c r="K93" s="11" t="str"/>
      <x:c r="L93" s="11" t="str"/>
      <x:c r="M93" s="11" t="str"/>
      <x:c r="N93" s="12"/>
      <x:c r="O93" s="11" t="str">
        <x:v>本行实际结果分开填写正常、鉴权、越权/不存在、参数四个子结果；任一必需子项未验证不能填通过</x:v>
      </x:c>
    </x:row>
    <x:row r="94" ht="52.79999923706055" hidden="0" customHeight="1">
      <x:c r="A94" s="10" t="str">
        <x:v>API-B-089</x:v>
      </x:c>
      <x:c r="B94" s="10" t="str">
        <x:v>Java</x:v>
      </x:c>
      <x:c r="C94" s="10" t="str">
        <x:v>context</x:v>
      </x:c>
      <x:c r="D94" s="10" t="str">
        <x:v>P1</x:v>
      </x:c>
      <x:c r="E94" s="10" t="str">
        <x:v>POST /workspaces/{workspaceId}/settings/models/{id}/context</x:v>
      </x:c>
      <x:c r="F94" s="10" t="str">
        <x:v>Cookie 会话；写入需要有效 CSRF</x:v>
      </x:c>
      <x:c r="G9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94" s="10" t="str">
        <x:v>apps/backend/src/main/java/com/cuupe/backend/modules/settings/controller/WorkspaceModelSettingsController.java:141</x:v>
      </x:c>
      <x:c r="J94" s="11" t="str">
        <x:v>未执行</x:v>
      </x:c>
      <x:c r="K94" s="11" t="str"/>
      <x:c r="L94" s="11" t="str"/>
      <x:c r="M94" s="11" t="str"/>
      <x:c r="N94" s="12"/>
      <x:c r="O94" s="11" t="str">
        <x:v>本行实际结果分开填写正常、鉴权、越权/不存在、参数四个子结果；任一必需子项未验证不能填通过</x:v>
      </x:c>
    </x:row>
    <x:row r="95" ht="52.79999923706055" hidden="0" customHeight="1">
      <x:c r="A95" s="10" t="str">
        <x:v>API-B-090</x:v>
      </x:c>
      <x:c r="B95" s="10" t="str">
        <x:v>Java</x:v>
      </x:c>
      <x:c r="C95" s="10" t="str">
        <x:v>testEmbedding</x:v>
      </x:c>
      <x:c r="D95" s="10" t="str">
        <x:v>P1</x:v>
      </x:c>
      <x:c r="E95" s="10" t="str">
        <x:v>POST /workspaces/{workspaceId}/settings/models/{id}/test-embedding</x:v>
      </x:c>
      <x:c r="F95" s="10" t="str">
        <x:v>Cookie 会话；写入需要有效 CSRF</x:v>
      </x:c>
      <x:c r="G9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95" s="10" t="str">
        <x:v>apps/backend/src/main/java/com/cuupe/backend/modules/settings/controller/WorkspaceModelSettingsController.java:159</x:v>
      </x:c>
      <x:c r="J95" s="11" t="str">
        <x:v>未执行</x:v>
      </x:c>
      <x:c r="K95" s="11" t="str"/>
      <x:c r="L95" s="11" t="str"/>
      <x:c r="M95" s="11" t="str"/>
      <x:c r="N95" s="12"/>
      <x:c r="O95" s="11" t="str">
        <x:v>本行实际结果分开填写正常、鉴权、越权/不存在、参数四个子结果；任一必需子项未验证不能填通过</x:v>
      </x:c>
    </x:row>
    <x:row r="96" ht="52.79999923706055" hidden="0" customHeight="1">
      <x:c r="A96" s="10" t="str">
        <x:v>API-B-091</x:v>
      </x:c>
      <x:c r="B96" s="10" t="str">
        <x:v>Java</x:v>
      </x:c>
      <x:c r="C96" s="10" t="str">
        <x:v>workspace</x:v>
      </x:c>
      <x:c r="D96" s="10" t="str">
        <x:v>P1</x:v>
      </x:c>
      <x:c r="E96" s="10" t="str">
        <x:v>GET /workspaces/{workspaceId}/statistics</x:v>
      </x:c>
      <x:c r="F96" s="10" t="str">
        <x:v>Cookie 会话；写入需要有效 CSRF</x:v>
      </x:c>
      <x:c r="G9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6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96" s="10" t="str">
        <x:v>apps/backend/src/main/java/com/cuupe/backend/modules/statistics/controller/StatisticsController.java:27</x:v>
      </x:c>
      <x:c r="J96" s="11" t="str">
        <x:v>未执行</x:v>
      </x:c>
      <x:c r="K96" s="11" t="str"/>
      <x:c r="L96" s="11" t="str"/>
      <x:c r="M96" s="11" t="str"/>
      <x:c r="N96" s="12"/>
      <x:c r="O96" s="11" t="str">
        <x:v>本行实际结果分开填写正常、鉴权、越权/不存在、参数四个子结果；任一必需子项未验证不能填通过</x:v>
      </x:c>
    </x:row>
    <x:row r="97" ht="52.79999923706055" hidden="0" customHeight="1">
      <x:c r="A97" s="10" t="str">
        <x:v>API-B-092</x:v>
      </x:c>
      <x:c r="B97" s="10" t="str">
        <x:v>Java</x:v>
      </x:c>
      <x:c r="C97" s="10" t="str">
        <x:v>project</x:v>
      </x:c>
      <x:c r="D97" s="10" t="str">
        <x:v>P1</x:v>
      </x:c>
      <x:c r="E97" s="10" t="str">
        <x:v>GET /workspaces/{workspaceId}/projects/{projectId}/statistics</x:v>
      </x:c>
      <x:c r="F97" s="10" t="str">
        <x:v>Cookie 会话；写入需要有效 CSRF</x:v>
      </x:c>
      <x:c r="G9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7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97" s="10" t="str">
        <x:v>apps/backend/src/main/java/com/cuupe/backend/modules/statistics/controller/StatisticsController.java:36</x:v>
      </x:c>
      <x:c r="J97" s="11" t="str">
        <x:v>未执行</x:v>
      </x:c>
      <x:c r="K97" s="11" t="str"/>
      <x:c r="L97" s="11" t="str"/>
      <x:c r="M97" s="11" t="str"/>
      <x:c r="N97" s="12"/>
      <x:c r="O97" s="11" t="str">
        <x:v>本行实际结果分开填写正常、鉴权、越权/不存在、参数四个子结果；任一必需子项未验证不能填通过</x:v>
      </x:c>
    </x:row>
    <x:row r="98" ht="52.79999923706055" hidden="0" customHeight="1">
      <x:c r="A98" s="10" t="str">
        <x:v>API-B-093</x:v>
      </x:c>
      <x:c r="B98" s="10" t="str">
        <x:v>Java</x:v>
      </x:c>
      <x:c r="C98" s="10" t="str">
        <x:v>quota</x:v>
      </x:c>
      <x:c r="D98" s="10" t="str">
        <x:v>P1</x:v>
      </x:c>
      <x:c r="E98" s="10" t="str">
        <x:v>GET /workspaces/{workspaceId}/projects/{projectId}/storage/quota</x:v>
      </x:c>
      <x:c r="F98" s="10" t="str">
        <x:v>Cookie 会话；写入需要有效 CSRF</x:v>
      </x:c>
      <x:c r="G9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98" s="10" t="str">
        <x:v>apps/backend/src/main/java/com/cuupe/backend/modules/storage/controller/StorageQuotaController.java:24</x:v>
      </x:c>
      <x:c r="J98" s="11" t="str">
        <x:v>未执行</x:v>
      </x:c>
      <x:c r="K98" s="11" t="str"/>
      <x:c r="L98" s="11" t="str"/>
      <x:c r="M98" s="11" t="str"/>
      <x:c r="N98" s="12"/>
      <x:c r="O98" s="11" t="str">
        <x:v>本行实际结果分开填写正常、鉴权、越权/不存在、参数四个子结果；任一必需子项未验证不能填通过</x:v>
      </x:c>
    </x:row>
    <x:row r="99" ht="52.79999923706055" hidden="0" customHeight="1">
      <x:c r="A99" s="10" t="str">
        <x:v>API-B-094</x:v>
      </x:c>
      <x:c r="B99" s="10" t="str">
        <x:v>Java</x:v>
      </x:c>
      <x:c r="C99" s="10" t="str">
        <x:v>list</x:v>
      </x:c>
      <x:c r="D99" s="10" t="str">
        <x:v>P1</x:v>
      </x:c>
      <x:c r="E99" s="10" t="str">
        <x:v>GET /workspaces/my</x:v>
      </x:c>
      <x:c r="F99" s="10" t="str">
        <x:v>Cookie 会话；写入需要有效 CSRF</x:v>
      </x:c>
      <x:c r="G9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99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99" s="10" t="str">
        <x:v>apps/backend/src/main/java/com/cuupe/backend/modules/workspace/controller/WorkspaceController.java:4</x:v>
      </x:c>
      <x:c r="J99" s="11" t="str">
        <x:v>未执行</x:v>
      </x:c>
      <x:c r="K99" s="11" t="str"/>
      <x:c r="L99" s="11" t="str"/>
      <x:c r="M99" s="11" t="str"/>
      <x:c r="N99" s="12"/>
      <x:c r="O99" s="11" t="str">
        <x:v>本行实际结果分开填写正常、鉴权、越权/不存在、参数四个子结果；任一必需子项未验证不能填通过</x:v>
      </x:c>
    </x:row>
    <x:row r="100" ht="52.79999923706055" hidden="0" customHeight="1">
      <x:c r="A100" s="10" t="str">
        <x:v>API-B-095</x:v>
      </x:c>
      <x:c r="B100" s="10" t="str">
        <x:v>Java</x:v>
      </x:c>
      <x:c r="C100" s="10" t="str">
        <x:v>create</x:v>
      </x:c>
      <x:c r="D100" s="10" t="str">
        <x:v>P1</x:v>
      </x:c>
      <x:c r="E100" s="10" t="str">
        <x:v>POST /workspaces</x:v>
      </x:c>
      <x:c r="F100" s="10" t="str">
        <x:v>Cookie 会话；写入需要有效 CSRF</x:v>
      </x:c>
      <x:c r="G10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0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00" s="10" t="str">
        <x:v>apps/backend/src/main/java/com/cuupe/backend/modules/workspace/controller/WorkspaceController.java:5</x:v>
      </x:c>
      <x:c r="J100" s="11" t="str">
        <x:v>未执行</x:v>
      </x:c>
      <x:c r="K100" s="11" t="str"/>
      <x:c r="L100" s="11" t="str"/>
      <x:c r="M100" s="11" t="str"/>
      <x:c r="N100" s="12"/>
      <x:c r="O100" s="11" t="str">
        <x:v>本行实际结果分开填写正常、鉴权、越权/不存在、参数四个子结果；任一必需子项未验证不能填通过</x:v>
      </x:c>
    </x:row>
    <x:row r="101" ht="52.79999923706055" hidden="0" customHeight="1">
      <x:c r="A101" s="10" t="str">
        <x:v>API-B-096</x:v>
      </x:c>
      <x:c r="B101" s="10" t="str">
        <x:v>Java</x:v>
      </x:c>
      <x:c r="C101" s="10" t="str">
        <x:v>detail</x:v>
      </x:c>
      <x:c r="D101" s="10" t="str">
        <x:v>P1</x:v>
      </x:c>
      <x:c r="E101" s="10" t="str">
        <x:v>GET /workspaces/{id}</x:v>
      </x:c>
      <x:c r="F101" s="10" t="str">
        <x:v>Cookie 会话；写入需要有效 CSRF</x:v>
      </x:c>
      <x:c r="G10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1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01" s="10" t="str">
        <x:v>apps/backend/src/main/java/com/cuupe/backend/modules/workspace/controller/WorkspaceController.java:6</x:v>
      </x:c>
      <x:c r="J101" s="11" t="str">
        <x:v>未执行</x:v>
      </x:c>
      <x:c r="K101" s="11" t="str"/>
      <x:c r="L101" s="11" t="str"/>
      <x:c r="M101" s="11" t="str"/>
      <x:c r="N101" s="12"/>
      <x:c r="O101" s="11" t="str">
        <x:v>本行实际结果分开填写正常、鉴权、越权/不存在、参数四个子结果；任一必需子项未验证不能填通过</x:v>
      </x:c>
    </x:row>
    <x:row r="102" ht="52.79999923706055" hidden="0" customHeight="1">
      <x:c r="A102" s="10" t="str">
        <x:v>API-B-097</x:v>
      </x:c>
      <x:c r="B102" s="10" t="str">
        <x:v>Java</x:v>
      </x:c>
      <x:c r="C102" s="10" t="str">
        <x:v>update</x:v>
      </x:c>
      <x:c r="D102" s="10" t="str">
        <x:v>P1</x:v>
      </x:c>
      <x:c r="E102" s="10" t="str">
        <x:v>PATCH /workspaces/{id}</x:v>
      </x:c>
      <x:c r="F102" s="10" t="str">
        <x:v>Cookie 会话；写入需要有效 CSRF</x:v>
      </x:c>
      <x:c r="G10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2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02" s="10" t="str">
        <x:v>apps/backend/src/main/java/com/cuupe/backend/modules/workspace/controller/WorkspaceController.java:7</x:v>
      </x:c>
      <x:c r="J102" s="11" t="str">
        <x:v>未执行</x:v>
      </x:c>
      <x:c r="K102" s="11" t="str"/>
      <x:c r="L102" s="11" t="str"/>
      <x:c r="M102" s="11" t="str"/>
      <x:c r="N102" s="12"/>
      <x:c r="O102" s="11" t="str">
        <x:v>本行实际结果分开填写正常、鉴权、越权/不存在、参数四个子结果；任一必需子项未验证不能填通过</x:v>
      </x:c>
    </x:row>
    <x:row r="103" ht="52.79999923706055" hidden="0" customHeight="1">
      <x:c r="A103" s="10" t="str">
        <x:v>API-B-098</x:v>
      </x:c>
      <x:c r="B103" s="10" t="str">
        <x:v>Java</x:v>
      </x:c>
      <x:c r="C103" s="10" t="str">
        <x:v>delete</x:v>
      </x:c>
      <x:c r="D103" s="10" t="str">
        <x:v>P1</x:v>
      </x:c>
      <x:c r="E103" s="10" t="str">
        <x:v>DELETE /workspaces/{id}</x:v>
      </x:c>
      <x:c r="F103" s="10" t="str">
        <x:v>Cookie 会话；写入需要有效 CSRF</x:v>
      </x:c>
      <x:c r="G10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3" s="10" t="str">
        <x:v>仅删指定 QA 对象；重复/失效删除受控；回读、关联资源与配额符合已定义清理策略
未授权/跨范围请求无读写效果；输入错误返回合理 4xx 或明确失败；拒绝情况不能 200 伪成功；内部错误不泄露凭据</x:v>
      </x:c>
      <x:c r="I103" s="10" t="str">
        <x:v>apps/backend/src/main/java/com/cuupe/backend/modules/workspace/controller/WorkspaceController.java:8</x:v>
      </x:c>
      <x:c r="J103" s="11" t="str">
        <x:v>未执行</x:v>
      </x:c>
      <x:c r="K103" s="11" t="str"/>
      <x:c r="L103" s="11" t="str"/>
      <x:c r="M103" s="11" t="str"/>
      <x:c r="N103" s="12"/>
      <x:c r="O103" s="11" t="str">
        <x:v>本行实际结果分开填写正常、鉴权、越权/不存在、参数四个子结果；任一必需子项未验证不能填通过</x:v>
      </x:c>
    </x:row>
    <x:row r="104" ht="52.79999923706055" hidden="0" customHeight="1">
      <x:c r="A104" s="10" t="str">
        <x:v>API-B-099</x:v>
      </x:c>
      <x:c r="B104" s="10" t="str">
        <x:v>Java</x:v>
      </x:c>
      <x:c r="C104" s="10" t="str">
        <x:v>archive</x:v>
      </x:c>
      <x:c r="D104" s="10" t="str">
        <x:v>P1</x:v>
      </x:c>
      <x:c r="E104" s="10" t="str">
        <x:v>PATCH /workspaces/{id}/archive</x:v>
      </x:c>
      <x:c r="F104" s="10" t="str">
        <x:v>Cookie 会话；写入需要有效 CSRF</x:v>
      </x:c>
      <x:c r="G10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04" s="10" t="str">
        <x:v>apps/backend/src/main/java/com/cuupe/backend/modules/workspace/controller/WorkspaceController.java:9</x:v>
      </x:c>
      <x:c r="J104" s="11" t="str">
        <x:v>未执行</x:v>
      </x:c>
      <x:c r="K104" s="11" t="str"/>
      <x:c r="L104" s="11" t="str"/>
      <x:c r="M104" s="11" t="str"/>
      <x:c r="N104" s="12"/>
      <x:c r="O104" s="11" t="str">
        <x:v>本行实际结果分开填写正常、鉴权、越权/不存在、参数四个子结果；任一必需子项未验证不能填通过</x:v>
      </x:c>
    </x:row>
    <x:row r="105" ht="52.79999923706055" hidden="0" customHeight="1">
      <x:c r="A105" s="10" t="str">
        <x:v>API-B-100</x:v>
      </x:c>
      <x:c r="B105" s="10" t="str">
        <x:v>Java</x:v>
      </x:c>
      <x:c r="C105" s="10" t="str">
        <x:v>restore</x:v>
      </x:c>
      <x:c r="D105" s="10" t="str">
        <x:v>P1</x:v>
      </x:c>
      <x:c r="E105" s="10" t="str">
        <x:v>PATCH /workspaces/{id}/restore</x:v>
      </x:c>
      <x:c r="F105" s="10" t="str">
        <x:v>Cookie 会话；写入需要有效 CSRF</x:v>
      </x:c>
      <x:c r="G10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05" s="10" t="str">
        <x:v>apps/backend/src/main/java/com/cuupe/backend/modules/workspace/controller/WorkspaceController.java:10</x:v>
      </x:c>
      <x:c r="J105" s="11" t="str">
        <x:v>未执行</x:v>
      </x:c>
      <x:c r="K105" s="11" t="str"/>
      <x:c r="L105" s="11" t="str"/>
      <x:c r="M105" s="11" t="str"/>
      <x:c r="N105" s="12"/>
      <x:c r="O105" s="11" t="str">
        <x:v>本行实际结果分开填写正常、鉴权、越权/不存在、参数四个子结果；任一必需子项未验证不能填通过</x:v>
      </x:c>
    </x:row>
    <x:row r="106" ht="52.79999923706055" hidden="0" customHeight="1">
      <x:c r="A106" s="10" t="str">
        <x:v>API-B-101</x:v>
      </x:c>
      <x:c r="B106" s="10" t="str">
        <x:v>Java</x:v>
      </x:c>
      <x:c r="C106" s="10" t="str">
        <x:v>preferences</x:v>
      </x:c>
      <x:c r="D106" s="10" t="str">
        <x:v>P1</x:v>
      </x:c>
      <x:c r="E106" s="10" t="str">
        <x:v>PATCH /workspaces/{id}/preferences</x:v>
      </x:c>
      <x:c r="F106" s="10" t="str">
        <x:v>Cookie 会话；写入需要有效 CSRF</x:v>
      </x:c>
      <x:c r="G10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06" s="10" t="str">
        <x:v>apps/backend/src/main/java/com/cuupe/backend/modules/workspace/controller/WorkspaceController.java:11</x:v>
      </x:c>
      <x:c r="J106" s="11" t="str">
        <x:v>未执行</x:v>
      </x:c>
      <x:c r="K106" s="11" t="str"/>
      <x:c r="L106" s="11" t="str"/>
      <x:c r="M106" s="11" t="str"/>
      <x:c r="N106" s="12"/>
      <x:c r="O106" s="11" t="str">
        <x:v>本行实际结果分开填写正常、鉴权、越权/不存在、参数四个子结果；任一必需子项未验证不能填通过</x:v>
      </x:c>
    </x:row>
    <x:row r="107" ht="52.79999923706055" hidden="0" customHeight="1">
      <x:c r="A107" s="10" t="str">
        <x:v>API-B-102</x:v>
      </x:c>
      <x:c r="B107" s="10" t="str">
        <x:v>Java</x:v>
      </x:c>
      <x:c r="C107" s="10" t="str">
        <x:v>create</x:v>
      </x:c>
      <x:c r="D107" s="10" t="str">
        <x:v>P1</x:v>
      </x:c>
      <x:c r="E107" s="10" t="str">
        <x:v>POST /workspaces/{workspaceId}/invitations</x:v>
      </x:c>
      <x:c r="F107" s="10" t="str">
        <x:v>Cookie 会话；写入需要有效 CSRF</x:v>
      </x:c>
      <x:c r="G10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07" s="10" t="str">
        <x:v>apps/backend/src/main/java/com/cuupe/backend/modules/workspace/controller/WorkspaceInvitationController.java:28</x:v>
      </x:c>
      <x:c r="J107" s="11" t="str">
        <x:v>未执行</x:v>
      </x:c>
      <x:c r="K107" s="11" t="str"/>
      <x:c r="L107" s="11" t="str"/>
      <x:c r="M107" s="11" t="str"/>
      <x:c r="N107" s="12"/>
      <x:c r="O107" s="11" t="str">
        <x:v>本行实际结果分开填写正常、鉴权、越权/不存在、参数四个子结果；任一必需子项未验证不能填通过</x:v>
      </x:c>
    </x:row>
    <x:row r="108" ht="52.79999923706055" hidden="0" customHeight="1">
      <x:c r="A108" s="10" t="str">
        <x:v>API-B-103</x:v>
      </x:c>
      <x:c r="B108" s="10" t="str">
        <x:v>Java</x:v>
      </x:c>
      <x:c r="C108" s="10" t="str">
        <x:v>mine</x:v>
      </x:c>
      <x:c r="D108" s="10" t="str">
        <x:v>P1</x:v>
      </x:c>
      <x:c r="E108" s="10" t="str">
        <x:v>GET /workspace-invitations/me</x:v>
      </x:c>
      <x:c r="F108" s="10" t="str">
        <x:v>Cookie 会话；写入需要有效 CSRF</x:v>
      </x:c>
      <x:c r="G10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8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08" s="10" t="str">
        <x:v>apps/backend/src/main/java/com/cuupe/backend/modules/workspace/controller/WorkspaceInvitationController.java:42</x:v>
      </x:c>
      <x:c r="J108" s="11" t="str">
        <x:v>未执行</x:v>
      </x:c>
      <x:c r="K108" s="11" t="str"/>
      <x:c r="L108" s="11" t="str"/>
      <x:c r="M108" s="11" t="str"/>
      <x:c r="N108" s="12"/>
      <x:c r="O108" s="11" t="str">
        <x:v>本行实际结果分开填写正常、鉴权、越权/不存在、参数四个子结果；任一必需子项未验证不能填通过</x:v>
      </x:c>
    </x:row>
    <x:row r="109" ht="52.79999923706055" hidden="0" customHeight="1">
      <x:c r="A109" s="10" t="str">
        <x:v>API-B-104</x:v>
      </x:c>
      <x:c r="B109" s="10" t="str">
        <x:v>Java</x:v>
      </x:c>
      <x:c r="C109" s="10" t="str">
        <x:v>accept</x:v>
      </x:c>
      <x:c r="D109" s="10" t="str">
        <x:v>P1</x:v>
      </x:c>
      <x:c r="E109" s="10" t="str">
        <x:v>POST /workspace-invitations/{id}/accept</x:v>
      </x:c>
      <x:c r="F109" s="10" t="str">
        <x:v>Cookie 会话；写入需要有效 CSRF</x:v>
      </x:c>
      <x:c r="G10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0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09" s="10" t="str">
        <x:v>apps/backend/src/main/java/com/cuupe/backend/modules/workspace/controller/WorkspaceInvitationController.java:47</x:v>
      </x:c>
      <x:c r="J109" s="11" t="str">
        <x:v>未执行</x:v>
      </x:c>
      <x:c r="K109" s="11" t="str"/>
      <x:c r="L109" s="11" t="str"/>
      <x:c r="M109" s="11" t="str"/>
      <x:c r="N109" s="12"/>
      <x:c r="O109" s="11" t="str">
        <x:v>本行实际结果分开填写正常、鉴权、越权/不存在、参数四个子结果；任一必需子项未验证不能填通过</x:v>
      </x:c>
    </x:row>
    <x:row r="110" ht="52.79999923706055" hidden="0" customHeight="1">
      <x:c r="A110" s="10" t="str">
        <x:v>API-B-105</x:v>
      </x:c>
      <x:c r="B110" s="10" t="str">
        <x:v>Java</x:v>
      </x:c>
      <x:c r="C110" s="10" t="str">
        <x:v>decline</x:v>
      </x:c>
      <x:c r="D110" s="10" t="str">
        <x:v>P1</x:v>
      </x:c>
      <x:c r="E110" s="10" t="str">
        <x:v>POST /workspace-invitations/{id}/decline</x:v>
      </x:c>
      <x:c r="F110" s="10" t="str">
        <x:v>Cookie 会话；写入需要有效 CSRF</x:v>
      </x:c>
      <x:c r="G11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0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0" s="10" t="str">
        <x:v>apps/backend/src/main/java/com/cuupe/backend/modules/workspace/controller/WorkspaceInvitationController.java:57</x:v>
      </x:c>
      <x:c r="J110" s="11" t="str">
        <x:v>未执行</x:v>
      </x:c>
      <x:c r="K110" s="11" t="str"/>
      <x:c r="L110" s="11" t="str"/>
      <x:c r="M110" s="11" t="str"/>
      <x:c r="N110" s="12"/>
      <x:c r="O110" s="11" t="str">
        <x:v>本行实际结果分开填写正常、鉴权、越权/不存在、参数四个子结果；任一必需子项未验证不能填通过</x:v>
      </x:c>
    </x:row>
    <x:row r="111" ht="52.79999923706055" hidden="0" customHeight="1">
      <x:c r="A111" s="10" t="str">
        <x:v>API-B-106</x:v>
      </x:c>
      <x:c r="B111" s="10" t="str">
        <x:v>Java</x:v>
      </x:c>
      <x:c r="C111" s="10" t="str">
        <x:v>revoke</x:v>
      </x:c>
      <x:c r="D111" s="10" t="str">
        <x:v>P1</x:v>
      </x:c>
      <x:c r="E111" s="10" t="str">
        <x:v>DELETE /workspaces/{workspaceId}/invitations/{invitationId}</x:v>
      </x:c>
      <x:c r="F111" s="10" t="str">
        <x:v>Cookie 会话；写入需要有效 CSRF</x:v>
      </x:c>
      <x:c r="G11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1" s="10" t="str">
        <x:v>仅删指定 QA 对象；重复/失效删除受控；回读、关联资源与配额符合已定义清理策略
未授权/跨范围请求无读写效果；输入错误返回合理 4xx 或明确失败；拒绝情况不能 200 伪成功；内部错误不泄露凭据</x:v>
      </x:c>
      <x:c r="I111" s="10" t="str">
        <x:v>apps/backend/src/main/java/com/cuupe/backend/modules/workspace/controller/WorkspaceInvitationController.java:64</x:v>
      </x:c>
      <x:c r="J111" s="11" t="str">
        <x:v>未执行</x:v>
      </x:c>
      <x:c r="K111" s="11" t="str"/>
      <x:c r="L111" s="11" t="str"/>
      <x:c r="M111" s="11" t="str"/>
      <x:c r="N111" s="12"/>
      <x:c r="O111" s="11" t="str">
        <x:v>本行实际结果分开填写正常、鉴权、越权/不存在、参数四个子结果；任一必需子项未验证不能填通过</x:v>
      </x:c>
    </x:row>
    <x:row r="112" ht="52.79999923706055" hidden="0" customHeight="1">
      <x:c r="A112" s="10" t="str">
        <x:v>API-B-107</x:v>
      </x:c>
      <x:c r="B112" s="10" t="str">
        <x:v>Java</x:v>
      </x:c>
      <x:c r="C112" s="10" t="str">
        <x:v>list</x:v>
      </x:c>
      <x:c r="D112" s="10" t="str">
        <x:v>P1</x:v>
      </x:c>
      <x:c r="E112" s="10" t="str">
        <x:v>GET /workspaces/{workspaceId}/members</x:v>
      </x:c>
      <x:c r="F112" s="10" t="str">
        <x:v>Cookie 会话；写入需要有效 CSRF</x:v>
      </x:c>
      <x:c r="G11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12" s="10" t="str">
        <x:v>apps/backend/src/main/java/com/cuupe/backend/modules/workspace/controller/WorkspaceMemberController.java:3</x:v>
      </x:c>
      <x:c r="J112" s="11" t="str">
        <x:v>未执行</x:v>
      </x:c>
      <x:c r="K112" s="11" t="str"/>
      <x:c r="L112" s="11" t="str"/>
      <x:c r="M112" s="11" t="str"/>
      <x:c r="N112" s="12"/>
      <x:c r="O112" s="11" t="str">
        <x:v>本行实际结果分开填写正常、鉴权、越权/不存在、参数四个子结果；任一必需子项未验证不能填通过</x:v>
      </x:c>
    </x:row>
    <x:row r="113" ht="52.79999923706055" hidden="0" customHeight="1">
      <x:c r="A113" s="10" t="str">
        <x:v>API-B-108</x:v>
      </x:c>
      <x:c r="B113" s="10" t="str">
        <x:v>Java</x:v>
      </x:c>
      <x:c r="C113" s="10" t="str">
        <x:v>role</x:v>
      </x:c>
      <x:c r="D113" s="10" t="str">
        <x:v>P1</x:v>
      </x:c>
      <x:c r="E113" s="10" t="str">
        <x:v>PATCH /workspaces/{workspaceId}/members/{memberId}</x:v>
      </x:c>
      <x:c r="F113" s="10" t="str">
        <x:v>Cookie 会话；写入需要有效 CSRF</x:v>
      </x:c>
      <x:c r="G11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3" s="10" t="str">
        <x:v>apps/backend/src/main/java/com/cuupe/backend/modules/workspace/controller/WorkspaceMemberController.java:3</x:v>
      </x:c>
      <x:c r="J113" s="11" t="str">
        <x:v>未执行</x:v>
      </x:c>
      <x:c r="K113" s="11" t="str"/>
      <x:c r="L113" s="11" t="str"/>
      <x:c r="M113" s="11" t="str"/>
      <x:c r="N113" s="12"/>
      <x:c r="O113" s="11" t="str">
        <x:v>本行实际结果分开填写正常、鉴权、越权/不存在、参数四个子结果；任一必需子项未验证不能填通过</x:v>
      </x:c>
    </x:row>
    <x:row r="114" ht="52.79999923706055" hidden="0" customHeight="1">
      <x:c r="A114" s="10" t="str">
        <x:v>API-A-001</x:v>
      </x:c>
      <x:c r="B114" s="10" t="str">
        <x:v>AI</x:v>
      </x:c>
      <x:c r="C114" s="10" t="str">
        <x:v>search_knowledge</x:v>
      </x:c>
      <x:c r="D114" s="10" t="str">
        <x:v>P0</x:v>
      </x:c>
      <x:c r="E114" s="10" t="str">
        <x:v>POST /internal/knowledge/search</x:v>
      </x:c>
      <x:c r="F114" s="10" t="str">
        <x:v>X-Internal-Api-Key；限制内部网络</x:v>
      </x:c>
      <x:c r="G11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4" s="10" t="str">
        <x:v>apps/ai-service/api/routes/knowledge.py:57</x:v>
      </x:c>
      <x:c r="J114" s="11" t="str">
        <x:v>未执行</x:v>
      </x:c>
      <x:c r="K114" s="11" t="str"/>
      <x:c r="L114" s="11" t="str"/>
      <x:c r="M114" s="11" t="str"/>
      <x:c r="N114" s="12"/>
      <x:c r="O114" s="11" t="str">
        <x:v>本行实际结果分开填写正常、鉴权、越权/不存在、参数四个子结果；任一必需子项未验证不能填通过</x:v>
      </x:c>
    </x:row>
    <x:row r="115" ht="52.79999923706055" hidden="0" customHeight="1">
      <x:c r="A115" s="10" t="str">
        <x:v>API-A-002</x:v>
      </x:c>
      <x:c r="B115" s="10" t="str">
        <x:v>AI</x:v>
      </x:c>
      <x:c r="C115" s="10" t="str">
        <x:v>answer_knowledge</x:v>
      </x:c>
      <x:c r="D115" s="10" t="str">
        <x:v>P0</x:v>
      </x:c>
      <x:c r="E115" s="10" t="str">
        <x:v>POST /internal/knowledge/answer</x:v>
      </x:c>
      <x:c r="F115" s="10" t="str">
        <x:v>X-Internal-Api-Key；限制内部网络</x:v>
      </x:c>
      <x:c r="G11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5" s="10" t="str">
        <x:v>apps/ai-service/api/routes/knowledge.py:116</x:v>
      </x:c>
      <x:c r="J115" s="11" t="str">
        <x:v>未执行</x:v>
      </x:c>
      <x:c r="K115" s="11" t="str"/>
      <x:c r="L115" s="11" t="str"/>
      <x:c r="M115" s="11" t="str"/>
      <x:c r="N115" s="12"/>
      <x:c r="O115" s="11" t="str">
        <x:v>本行实际结果分开填写正常、鉴权、越权/不存在、参数四个子结果；任一必需子项未验证不能填通过</x:v>
      </x:c>
    </x:row>
    <x:row r="116" ht="52.79999923706055" hidden="0" customHeight="1">
      <x:c r="A116" s="10" t="str">
        <x:v>API-A-003</x:v>
      </x:c>
      <x:c r="B116" s="10" t="str">
        <x:v>AI</x:v>
      </x:c>
      <x:c r="C116" s="10" t="str">
        <x:v>index_asset</x:v>
      </x:c>
      <x:c r="D116" s="10" t="str">
        <x:v>P0</x:v>
      </x:c>
      <x:c r="E116" s="10" t="str">
        <x:v>POST /internal/indexing/assets/{asset_id}</x:v>
      </x:c>
      <x:c r="F116" s="10" t="str">
        <x:v>X-Internal-Api-Key；限制内部网络</x:v>
      </x:c>
      <x:c r="G11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6" s="10" t="str">
        <x:v>apps/ai-service/api/routes/knowledge.py:179</x:v>
      </x:c>
      <x:c r="J116" s="11" t="str">
        <x:v>未执行</x:v>
      </x:c>
      <x:c r="K116" s="11" t="str"/>
      <x:c r="L116" s="11" t="str"/>
      <x:c r="M116" s="11" t="str"/>
      <x:c r="N116" s="12"/>
      <x:c r="O116" s="11" t="str">
        <x:v>本行实际结果分开填写正常、鉴权、越权/不存在、参数四个子结果；任一必需子项未验证不能填通过</x:v>
      </x:c>
    </x:row>
    <x:row r="117" ht="52.79999923706055" hidden="0" customHeight="1">
      <x:c r="A117" s="10" t="str">
        <x:v>API-A-004</x:v>
      </x:c>
      <x:c r="B117" s="10" t="str">
        <x:v>AI</x:v>
      </x:c>
      <x:c r="C117" s="10" t="str">
        <x:v>search_graph</x:v>
      </x:c>
      <x:c r="D117" s="10" t="str">
        <x:v>P0</x:v>
      </x:c>
      <x:c r="E117" s="10" t="str">
        <x:v>POST /internal/knowledge/graph/search</x:v>
      </x:c>
      <x:c r="F117" s="10" t="str">
        <x:v>X-Internal-Api-Key；限制内部网络</x:v>
      </x:c>
      <x:c r="G11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7" s="10" t="str">
        <x:v>apps/ai-service/api/routes/knowledge.py:224</x:v>
      </x:c>
      <x:c r="J117" s="11" t="str">
        <x:v>未执行</x:v>
      </x:c>
      <x:c r="K117" s="11" t="str"/>
      <x:c r="L117" s="11" t="str"/>
      <x:c r="M117" s="11" t="str"/>
      <x:c r="N117" s="12"/>
      <x:c r="O117" s="11" t="str">
        <x:v>本行实际结果分开填写正常、鉴权、越权/不存在、参数四个子结果；任一必需子项未验证不能填通过</x:v>
      </x:c>
    </x:row>
    <x:row r="118" ht="52.79999923706055" hidden="0" customHeight="1">
      <x:c r="A118" s="10" t="str">
        <x:v>API-A-005</x:v>
      </x:c>
      <x:c r="B118" s="10" t="str">
        <x:v>AI</x:v>
      </x:c>
      <x:c r="C118" s="10" t="str">
        <x:v>execute_run</x:v>
      </x:c>
      <x:c r="D118" s="10" t="str">
        <x:v>P0</x:v>
      </x:c>
      <x:c r="E118" s="10" t="str">
        <x:v>POST /internal/research/runs/{run_id}/execute</x:v>
      </x:c>
      <x:c r="F118" s="10" t="str">
        <x:v>X-Internal-Api-Key；限制内部网络</x:v>
      </x:c>
      <x:c r="G11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8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8" s="10" t="str">
        <x:v>apps/ai-service/api/routes/research.py:16</x:v>
      </x:c>
      <x:c r="J118" s="11" t="str">
        <x:v>未执行</x:v>
      </x:c>
      <x:c r="K118" s="11" t="str"/>
      <x:c r="L118" s="11" t="str"/>
      <x:c r="M118" s="11" t="str"/>
      <x:c r="N118" s="12"/>
      <x:c r="O118" s="11" t="str">
        <x:v>本行实际结果分开填写正常、鉴权、越权/不存在、参数四个子结果；任一必需子项未验证不能填通过</x:v>
      </x:c>
    </x:row>
    <x:row r="119" ht="52.79999923706055" hidden="0" customHeight="1">
      <x:c r="A119" s="10" t="str">
        <x:v>API-A-006</x:v>
      </x:c>
      <x:c r="B119" s="10" t="str">
        <x:v>AI</x:v>
      </x:c>
      <x:c r="C119" s="10" t="str">
        <x:v>cancel_run</x:v>
      </x:c>
      <x:c r="D119" s="10" t="str">
        <x:v>P0</x:v>
      </x:c>
      <x:c r="E119" s="10" t="str">
        <x:v>POST /internal/research/runs/{run_id}/cancel</x:v>
      </x:c>
      <x:c r="F119" s="10" t="str">
        <x:v>X-Internal-Api-Key；限制内部网络</x:v>
      </x:c>
      <x:c r="G11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1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19" s="10" t="str">
        <x:v>apps/ai-service/api/routes/research.py:48</x:v>
      </x:c>
      <x:c r="J119" s="11" t="str">
        <x:v>未执行</x:v>
      </x:c>
      <x:c r="K119" s="11" t="str"/>
      <x:c r="L119" s="11" t="str"/>
      <x:c r="M119" s="11" t="str"/>
      <x:c r="N119" s="12"/>
      <x:c r="O119" s="11" t="str">
        <x:v>本行实际结果分开填写正常、鉴权、越权/不存在、参数四个子结果；任一必需子项未验证不能填通过</x:v>
      </x:c>
    </x:row>
    <x:row r="120" ht="52.79999923706055" hidden="0" customHeight="1">
      <x:c r="A120" s="10" t="str">
        <x:v>API-A-007</x:v>
      </x:c>
      <x:c r="B120" s="10" t="str">
        <x:v>AI</x:v>
      </x:c>
      <x:c r="C120" s="10" t="str">
        <x:v>get_run</x:v>
      </x:c>
      <x:c r="D120" s="10" t="str">
        <x:v>P0</x:v>
      </x:c>
      <x:c r="E120" s="10" t="str">
        <x:v>GET /internal/research/runs/{run_id}</x:v>
      </x:c>
      <x:c r="F120" s="10" t="str">
        <x:v>X-Internal-Api-Key；限制内部网络</x:v>
      </x:c>
      <x:c r="G12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0" s="10" t="str">
        <x:v>apps/ai-service/api/routes/research.py:55</x:v>
      </x:c>
      <x:c r="J120" s="11" t="str">
        <x:v>未执行</x:v>
      </x:c>
      <x:c r="K120" s="11" t="str"/>
      <x:c r="L120" s="11" t="str"/>
      <x:c r="M120" s="11" t="str"/>
      <x:c r="N120" s="12"/>
      <x:c r="O120" s="11" t="str">
        <x:v>本行实际结果分开填写正常、鉴权、越权/不存在、参数四个子结果；任一必需子项未验证不能填通过</x:v>
      </x:c>
    </x:row>
    <x:row r="121" ht="52.79999923706055" hidden="0" customHeight="1">
      <x:c r="A121" s="10" t="str">
        <x:v>API-A-008</x:v>
      </x:c>
      <x:c r="B121" s="10" t="str">
        <x:v>AI</x:v>
      </x:c>
      <x:c r="C121" s="10" t="str">
        <x:v>update_plan</x:v>
      </x:c>
      <x:c r="D121" s="10" t="str">
        <x:v>P0</x:v>
      </x:c>
      <x:c r="E121" s="10" t="str">
        <x:v>PATCH /internal/research/runs/{run_id}/plan</x:v>
      </x:c>
      <x:c r="F121" s="10" t="str">
        <x:v>X-Internal-Api-Key；限制内部网络</x:v>
      </x:c>
      <x:c r="G12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1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21" s="10" t="str">
        <x:v>apps/ai-service/api/routes/research.py:114</x:v>
      </x:c>
      <x:c r="J121" s="11" t="str">
        <x:v>未执行</x:v>
      </x:c>
      <x:c r="K121" s="11" t="str"/>
      <x:c r="L121" s="11" t="str"/>
      <x:c r="M121" s="11" t="str"/>
      <x:c r="N121" s="12"/>
      <x:c r="O121" s="11" t="str">
        <x:v>本行实际结果分开填写正常、鉴权、越权/不存在、参数四个子结果；任一必需子项未验证不能填通过</x:v>
      </x:c>
    </x:row>
    <x:row r="122" ht="52.79999923706055" hidden="0" customHeight="1">
      <x:c r="A122" s="10" t="str">
        <x:v>API-A-009</x:v>
      </x:c>
      <x:c r="B122" s="10" t="str">
        <x:v>AI</x:v>
      </x:c>
      <x:c r="C122" s="10" t="str">
        <x:v>run_events</x:v>
      </x:c>
      <x:c r="D122" s="10" t="str">
        <x:v>P0</x:v>
      </x:c>
      <x:c r="E122" s="10" t="str">
        <x:v>GET /internal/research/runs/{run_id}/events</x:v>
      </x:c>
      <x:c r="F122" s="10" t="str">
        <x:v>X-Internal-Api-Key；限制内部网络</x:v>
      </x:c>
      <x:c r="G12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2" s="10" t="str">
        <x:v>apps/ai-service/api/routes/research.py:157</x:v>
      </x:c>
      <x:c r="J122" s="11" t="str">
        <x:v>未执行</x:v>
      </x:c>
      <x:c r="K122" s="11" t="str"/>
      <x:c r="L122" s="11" t="str"/>
      <x:c r="M122" s="11" t="str"/>
      <x:c r="N122" s="12"/>
      <x:c r="O122" s="11" t="str">
        <x:v>本行实际结果分开填写正常、鉴权、越权/不存在、参数四个子结果；任一必需子项未验证不能填通过</x:v>
      </x:c>
    </x:row>
    <x:row r="123" ht="52.79999923706055" hidden="0" customHeight="1">
      <x:c r="A123" s="10" t="str">
        <x:v>API-A-010</x:v>
      </x:c>
      <x:c r="B123" s="10" t="str">
        <x:v>AI</x:v>
      </x:c>
      <x:c r="C123" s="10" t="str">
        <x:v>cases</x:v>
      </x:c>
      <x:c r="D123" s="10" t="str">
        <x:v>P0</x:v>
      </x:c>
      <x:c r="E123" s="10" t="str">
        <x:v>GET /internal/security-harness/cases</x:v>
      </x:c>
      <x:c r="F123" s="10" t="str">
        <x:v>X-Internal-Api-Key；限制内部网络</x:v>
      </x:c>
      <x:c r="G12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3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3" s="10" t="str">
        <x:v>apps/ai-service/api/routes/security.py:24</x:v>
      </x:c>
      <x:c r="J123" s="11" t="str">
        <x:v>未执行</x:v>
      </x:c>
      <x:c r="K123" s="11" t="str"/>
      <x:c r="L123" s="11" t="str"/>
      <x:c r="M123" s="11" t="str"/>
      <x:c r="N123" s="12"/>
      <x:c r="O123" s="11" t="str">
        <x:v>本行实际结果分开填写正常、鉴权、越权/不存在、参数四个子结果；任一必需子项未验证不能填通过</x:v>
      </x:c>
    </x:row>
    <x:row r="124" ht="52.79999923706055" hidden="0" customHeight="1">
      <x:c r="A124" s="10" t="str">
        <x:v>API-A-011</x:v>
      </x:c>
      <x:c r="B124" s="10" t="str">
        <x:v>AI</x:v>
      </x:c>
      <x:c r="C124" s="10" t="str">
        <x:v>run</x:v>
      </x:c>
      <x:c r="D124" s="10" t="str">
        <x:v>P0</x:v>
      </x:c>
      <x:c r="E124" s="10" t="str">
        <x:v>POST /internal/security-harness/run</x:v>
      </x:c>
      <x:c r="F124" s="10" t="str">
        <x:v>X-Internal-Api-Key；限制内部网络</x:v>
      </x:c>
      <x:c r="G12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24" s="10" t="str">
        <x:v>apps/ai-service/api/routes/security.py:29</x:v>
      </x:c>
      <x:c r="J124" s="11" t="str">
        <x:v>未执行</x:v>
      </x:c>
      <x:c r="K124" s="11" t="str"/>
      <x:c r="L124" s="11" t="str"/>
      <x:c r="M124" s="11" t="str"/>
      <x:c r="N124" s="12"/>
      <x:c r="O124" s="11" t="str">
        <x:v>本行实际结果分开填写正常、鉴权、越权/不存在、参数四个子结果；任一必需子项未验证不能填通过</x:v>
      </x:c>
    </x:row>
    <x:row r="125" ht="52.79999923706055" hidden="0" customHeight="1">
      <x:c r="A125" s="10" t="str">
        <x:v>API-A-012</x:v>
      </x:c>
      <x:c r="B125" s="10" t="str">
        <x:v>AI</x:v>
      </x:c>
      <x:c r="C125" s="10" t="str">
        <x:v>health</x:v>
      </x:c>
      <x:c r="D125" s="10" t="str">
        <x:v>P1</x:v>
      </x:c>
      <x:c r="E125" s="10" t="str">
        <x:v>GET /health</x:v>
      </x:c>
      <x:c r="F125" s="10" t="str">
        <x:v>公开入口；仍校验输入与限流</x:v>
      </x:c>
      <x:c r="G12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5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5" s="10" t="str">
        <x:v>apps/ai-service/api/routes/system.py:47</x:v>
      </x:c>
      <x:c r="J125" s="11" t="str">
        <x:v>未执行</x:v>
      </x:c>
      <x:c r="K125" s="11" t="str"/>
      <x:c r="L125" s="11" t="str"/>
      <x:c r="M125" s="11" t="str"/>
      <x:c r="N125" s="12"/>
      <x:c r="O125" s="11" t="str">
        <x:v>本行实际结果分开填写正常、鉴权、越权/不存在、参数四个子结果；任一必需子项未验证不能填通过</x:v>
      </x:c>
    </x:row>
    <x:row r="126" ht="52.79999923706055" hidden="0" customHeight="1">
      <x:c r="A126" s="10" t="str">
        <x:v>API-A-013</x:v>
      </x:c>
      <x:c r="B126" s="10" t="str">
        <x:v>AI</x:v>
      </x:c>
      <x:c r="C126" s="10" t="str">
        <x:v>internal_health</x:v>
      </x:c>
      <x:c r="D126" s="10" t="str">
        <x:v>P0</x:v>
      </x:c>
      <x:c r="E126" s="10" t="str">
        <x:v>GET /internal/health</x:v>
      </x:c>
      <x:c r="F126" s="10" t="str">
        <x:v>X-Internal-Api-Key；限制内部网络</x:v>
      </x:c>
      <x:c r="G12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6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6" s="10" t="str">
        <x:v>apps/ai-service/api/routes/system.py:54</x:v>
      </x:c>
      <x:c r="J126" s="11" t="str">
        <x:v>未执行</x:v>
      </x:c>
      <x:c r="K126" s="11" t="str"/>
      <x:c r="L126" s="11" t="str"/>
      <x:c r="M126" s="11" t="str"/>
      <x:c r="N126" s="12"/>
      <x:c r="O126" s="11" t="str">
        <x:v>本行实际结果分开填写正常、鉴权、越权/不存在、参数四个子结果；任一必需子项未验证不能填通过</x:v>
      </x:c>
    </x:row>
    <x:row r="127" ht="52.79999923706055" hidden="0" customHeight="1">
      <x:c r="A127" s="10" t="str">
        <x:v>API-A-014</x:v>
      </x:c>
      <x:c r="B127" s="10" t="str">
        <x:v>AI</x:v>
      </x:c>
      <x:c r="C127" s="10" t="str">
        <x:v>runtime_status</x:v>
      </x:c>
      <x:c r="D127" s="10" t="str">
        <x:v>P0</x:v>
      </x:c>
      <x:c r="E127" s="10" t="str">
        <x:v>GET /internal/runtime/status</x:v>
      </x:c>
      <x:c r="F127" s="10" t="str">
        <x:v>X-Internal-Api-Key；限制内部网络</x:v>
      </x:c>
      <x:c r="G12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7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7" s="10" t="str">
        <x:v>apps/ai-service/api/routes/system.py:63</x:v>
      </x:c>
      <x:c r="J127" s="11" t="str">
        <x:v>未执行</x:v>
      </x:c>
      <x:c r="K127" s="11" t="str"/>
      <x:c r="L127" s="11" t="str"/>
      <x:c r="M127" s="11" t="str"/>
      <x:c r="N127" s="12"/>
      <x:c r="O127" s="11" t="str">
        <x:v>本行实际结果分开填写正常、鉴权、越权/不存在、参数四个子结果；任一必需子项未验证不能填通过</x:v>
      </x:c>
    </x:row>
    <x:row r="128" ht="52.79999923706055" hidden="0" customHeight="1">
      <x:c r="A128" s="10" t="str">
        <x:v>API-A-015</x:v>
      </x:c>
      <x:c r="B128" s="10" t="str">
        <x:v>AI</x:v>
      </x:c>
      <x:c r="C128" s="10" t="str">
        <x:v>invalidate_cache</x:v>
      </x:c>
      <x:c r="D128" s="10" t="str">
        <x:v>P0</x:v>
      </x:c>
      <x:c r="E128" s="10" t="str">
        <x:v>POST /internal/cache/invalidate</x:v>
      </x:c>
      <x:c r="F128" s="10" t="str">
        <x:v>X-Internal-Api-Key；限制内部网络</x:v>
      </x:c>
      <x:c r="G12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8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28" s="10" t="str">
        <x:v>apps/ai-service/api/routes/system.py:74</x:v>
      </x:c>
      <x:c r="J128" s="11" t="str">
        <x:v>未执行</x:v>
      </x:c>
      <x:c r="K128" s="11" t="str"/>
      <x:c r="L128" s="11" t="str"/>
      <x:c r="M128" s="11" t="str"/>
      <x:c r="N128" s="12"/>
      <x:c r="O128" s="11" t="str">
        <x:v>本行实际结果分开填写正常、鉴权、越权/不存在、参数四个子结果；任一必需子项未验证不能填通过</x:v>
      </x:c>
    </x:row>
    <x:row r="129" ht="52.79999923706055" hidden="0" customHeight="1">
      <x:c r="A129" s="10" t="str">
        <x:v>API-A-016</x:v>
      </x:c>
      <x:c r="B129" s="10" t="str">
        <x:v>AI</x:v>
      </x:c>
      <x:c r="C129" s="10" t="str">
        <x:v>file_tools</x:v>
      </x:c>
      <x:c r="D129" s="10" t="str">
        <x:v>P0</x:v>
      </x:c>
      <x:c r="E129" s="10" t="str">
        <x:v>GET /internal/files/tools</x:v>
      </x:c>
      <x:c r="F129" s="10" t="str">
        <x:v>X-Internal-Api-Key；限制内部网络</x:v>
      </x:c>
      <x:c r="G12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29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29" s="10" t="str">
        <x:v>apps/ai-service/api/routes/system.py:87</x:v>
      </x:c>
      <x:c r="J129" s="11" t="str">
        <x:v>未执行</x:v>
      </x:c>
      <x:c r="K129" s="11" t="str"/>
      <x:c r="L129" s="11" t="str"/>
      <x:c r="M129" s="11" t="str"/>
      <x:c r="N129" s="12"/>
      <x:c r="O129" s="11" t="str">
        <x:v>本行实际结果分开填写正常、鉴权、越权/不存在、参数四个子结果；任一必需子项未验证不能填通过</x:v>
      </x:c>
    </x:row>
    <x:row r="130" ht="52.79999923706055" hidden="0" customHeight="1">
      <x:c r="A130" s="10" t="str">
        <x:v>API-A-017</x:v>
      </x:c>
      <x:c r="B130" s="10" t="str">
        <x:v>AI</x:v>
      </x:c>
      <x:c r="C130" s="10" t="str">
        <x:v>file_preview</x:v>
      </x:c>
      <x:c r="D130" s="10" t="str">
        <x:v>P0</x:v>
      </x:c>
      <x:c r="E130" s="10" t="str">
        <x:v>POST /internal/files/preview</x:v>
      </x:c>
      <x:c r="F130" s="10" t="str">
        <x:v>X-Internal-Api-Key；限制内部网络</x:v>
      </x:c>
      <x:c r="G13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0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0" s="10" t="str">
        <x:v>apps/ai-service/api/routes/system.py:110</x:v>
      </x:c>
      <x:c r="J130" s="11" t="str">
        <x:v>未执行</x:v>
      </x:c>
      <x:c r="K130" s="11" t="str"/>
      <x:c r="L130" s="11" t="str"/>
      <x:c r="M130" s="11" t="str"/>
      <x:c r="N130" s="12"/>
      <x:c r="O130" s="11" t="str">
        <x:v>本行实际结果分开填写正常、鉴权、越权/不存在、参数四个子结果；任一必需子项未验证不能填通过</x:v>
      </x:c>
    </x:row>
    <x:row r="131" ht="52.79999923706055" hidden="0" customHeight="1">
      <x:c r="A131" s="10" t="str">
        <x:v>API-A-018</x:v>
      </x:c>
      <x:c r="B131" s="10" t="str">
        <x:v>AI</x:v>
      </x:c>
      <x:c r="C131" s="10" t="str">
        <x:v>mcp_tools</x:v>
      </x:c>
      <x:c r="D131" s="10" t="str">
        <x:v>P0</x:v>
      </x:c>
      <x:c r="E131" s="10" t="str">
        <x:v>GET /internal/mcp/tools</x:v>
      </x:c>
      <x:c r="F131" s="10" t="str">
        <x:v>X-Internal-Api-Key；限制内部网络</x:v>
      </x:c>
      <x:c r="G13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1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31" s="10" t="str">
        <x:v>apps/ai-service/api/routes/system.py:140</x:v>
      </x:c>
      <x:c r="J131" s="11" t="str">
        <x:v>未执行</x:v>
      </x:c>
      <x:c r="K131" s="11" t="str"/>
      <x:c r="L131" s="11" t="str"/>
      <x:c r="M131" s="11" t="str"/>
      <x:c r="N131" s="12"/>
      <x:c r="O131" s="11" t="str">
        <x:v>本行实际结果分开填写正常、鉴权、越权/不存在、参数四个子结果；任一必需子项未验证不能填通过</x:v>
      </x:c>
    </x:row>
    <x:row r="132" ht="52.79999923706055" hidden="0" customHeight="1">
      <x:c r="A132" s="10" t="str">
        <x:v>API-A-019</x:v>
      </x:c>
      <x:c r="B132" s="10" t="str">
        <x:v>AI</x:v>
      </x:c>
      <x:c r="C132" s="10" t="str">
        <x:v>agents</x:v>
      </x:c>
      <x:c r="D132" s="10" t="str">
        <x:v>P0</x:v>
      </x:c>
      <x:c r="E132" s="10" t="str">
        <x:v>GET /internal/agents</x:v>
      </x:c>
      <x:c r="F132" s="10" t="str">
        <x:v>X-Internal-Api-Key；限制内部网络</x:v>
      </x:c>
      <x:c r="G13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32" s="10" t="str">
        <x:v>apps/ai-service/api/routes/system.py:149</x:v>
      </x:c>
      <x:c r="J132" s="11" t="str">
        <x:v>未执行</x:v>
      </x:c>
      <x:c r="K132" s="11" t="str"/>
      <x:c r="L132" s="11" t="str"/>
      <x:c r="M132" s="11" t="str"/>
      <x:c r="N132" s="12"/>
      <x:c r="O132" s="11" t="str">
        <x:v>本行实际结果分开填写正常、鉴权、越权/不存在、参数四个子结果；任一必需子项未验证不能填通过</x:v>
      </x:c>
    </x:row>
    <x:row r="133" ht="52.79999923706055" hidden="0" customHeight="1">
      <x:c r="A133" s="10" t="str">
        <x:v>API-A-020</x:v>
      </x:c>
      <x:c r="B133" s="10" t="str">
        <x:v>AI</x:v>
      </x:c>
      <x:c r="C133" s="10" t="str">
        <x:v>agent_message</x:v>
      </x:c>
      <x:c r="D133" s="10" t="str">
        <x:v>P0</x:v>
      </x:c>
      <x:c r="E133" s="10" t="str">
        <x:v>POST /internal/agents/{agent_name}/messages</x:v>
      </x:c>
      <x:c r="F133" s="10" t="str">
        <x:v>X-Internal-Api-Key；限制内部网络</x:v>
      </x:c>
      <x:c r="G13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3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3" s="10" t="str">
        <x:v>apps/ai-service/api/routes/system.py:160</x:v>
      </x:c>
      <x:c r="J133" s="11" t="str">
        <x:v>未执行</x:v>
      </x:c>
      <x:c r="K133" s="11" t="str"/>
      <x:c r="L133" s="11" t="str"/>
      <x:c r="M133" s="11" t="str"/>
      <x:c r="N133" s="12"/>
      <x:c r="O133" s="11" t="str">
        <x:v>本行实际结果分开填写正常、鉴权、越权/不存在、参数四个子结果；任一必需子项未验证不能填通过</x:v>
      </x:c>
    </x:row>
    <x:row r="134" ht="52.79999923706055" hidden="0" customHeight="1">
      <x:c r="A134" s="10" t="str">
        <x:v>API-A-021</x:v>
      </x:c>
      <x:c r="B134" s="10" t="str">
        <x:v>AI</x:v>
      </x:c>
      <x:c r="C134" s="10" t="str">
        <x:v>llm_chat</x:v>
      </x:c>
      <x:c r="D134" s="10" t="str">
        <x:v>P0</x:v>
      </x:c>
      <x:c r="E134" s="10" t="str">
        <x:v>POST /internal/llm/chat</x:v>
      </x:c>
      <x:c r="F134" s="10" t="str">
        <x:v>X-Internal-Api-Key；限制内部网络</x:v>
      </x:c>
      <x:c r="G13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4" s="10" t="str">
        <x:v>apps/ai-service/api/routes/system.py:185</x:v>
      </x:c>
      <x:c r="J134" s="11" t="str">
        <x:v>未执行</x:v>
      </x:c>
      <x:c r="K134" s="11" t="str"/>
      <x:c r="L134" s="11" t="str"/>
      <x:c r="M134" s="11" t="str"/>
      <x:c r="N134" s="12"/>
      <x:c r="O134" s="11" t="str">
        <x:v>本行实际结果分开填写正常、鉴权、越权/不存在、参数四个子结果；任一必需子项未验证不能填通过</x:v>
      </x:c>
    </x:row>
    <x:row r="135" ht="52.79999923706055" hidden="0" customHeight="1">
      <x:c r="A135" s="10" t="str">
        <x:v>API-A-022</x:v>
      </x:c>
      <x:c r="B135" s="10" t="str">
        <x:v>AI</x:v>
      </x:c>
      <x:c r="C135" s="10" t="str">
        <x:v>test_llm</x:v>
      </x:c>
      <x:c r="D135" s="10" t="str">
        <x:v>P0</x:v>
      </x:c>
      <x:c r="E135" s="10" t="str">
        <x:v>POST /internal/llm/test</x:v>
      </x:c>
      <x:c r="F135" s="10" t="str">
        <x:v>X-Internal-Api-Key；限制内部网络</x:v>
      </x:c>
      <x:c r="G13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5" s="10" t="str">
        <x:v>apps/ai-service/api/routes/system.py:201</x:v>
      </x:c>
      <x:c r="J135" s="11" t="str">
        <x:v>未执行</x:v>
      </x:c>
      <x:c r="K135" s="11" t="str"/>
      <x:c r="L135" s="11" t="str"/>
      <x:c r="M135" s="11" t="str"/>
      <x:c r="N135" s="12"/>
      <x:c r="O135" s="11" t="str">
        <x:v>本行实际结果分开填写正常、鉴权、越权/不存在、参数四个子结果；任一必需子项未验证不能填通过</x:v>
      </x:c>
    </x:row>
    <x:row r="136" ht="52.79999923706055" hidden="0" customHeight="1">
      <x:c r="A136" s="10" t="str">
        <x:v>API-A-023</x:v>
      </x:c>
      <x:c r="B136" s="10" t="str">
        <x:v>AI</x:v>
      </x:c>
      <x:c r="C136" s="10" t="str">
        <x:v>llm_context</x:v>
      </x:c>
      <x:c r="D136" s="10" t="str">
        <x:v>P0</x:v>
      </x:c>
      <x:c r="E136" s="10" t="str">
        <x:v>POST /internal/llm/context</x:v>
      </x:c>
      <x:c r="F136" s="10" t="str">
        <x:v>X-Internal-Api-Key；限制内部网络</x:v>
      </x:c>
      <x:c r="G13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6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6" s="10" t="str">
        <x:v>apps/ai-service/api/routes/system.py:226</x:v>
      </x:c>
      <x:c r="J136" s="11" t="str">
        <x:v>未执行</x:v>
      </x:c>
      <x:c r="K136" s="11" t="str"/>
      <x:c r="L136" s="11" t="str"/>
      <x:c r="M136" s="11" t="str"/>
      <x:c r="N136" s="12"/>
      <x:c r="O136" s="11" t="str">
        <x:v>本行实际结果分开填写正常、鉴权、越权/不存在、参数四个子结果；任一必需子项未验证不能填通过</x:v>
      </x:c>
    </x:row>
    <x:row r="137" ht="52.79999923706055" hidden="0" customHeight="1">
      <x:c r="A137" s="10" t="str">
        <x:v>API-A-024</x:v>
      </x:c>
      <x:c r="B137" s="10" t="str">
        <x:v>AI</x:v>
      </x:c>
      <x:c r="C137" s="10" t="str">
        <x:v>test_embedding</x:v>
      </x:c>
      <x:c r="D137" s="10" t="str">
        <x:v>P0</x:v>
      </x:c>
      <x:c r="E137" s="10" t="str">
        <x:v>POST /internal/embedding/test</x:v>
      </x:c>
      <x:c r="F137" s="10" t="str">
        <x:v>X-Internal-Api-Key；限制内部网络</x:v>
      </x:c>
      <x:c r="G13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7" s="10" t="str">
        <x:v>apps/ai-service/api/routes/system.py:240</x:v>
      </x:c>
      <x:c r="J137" s="11" t="str">
        <x:v>未执行</x:v>
      </x:c>
      <x:c r="K137" s="11" t="str"/>
      <x:c r="L137" s="11" t="str"/>
      <x:c r="M137" s="11" t="str"/>
      <x:c r="N137" s="12"/>
      <x:c r="O137" s="11" t="str">
        <x:v>本行实际结果分开填写正常、鉴权、越权/不存在、参数四个子结果；任一必需子项未验证不能填通过</x:v>
      </x:c>
    </x:row>
    <x:row r="138" ht="52.79999923706055" hidden="0" customHeight="1">
      <x:c r="A138" s="10" t="str">
        <x:v>API-A-025</x:v>
      </x:c>
      <x:c r="B138" s="10" t="str">
        <x:v>AI</x:v>
      </x:c>
      <x:c r="C138" s="10" t="str">
        <x:v>test_web_search</x:v>
      </x:c>
      <x:c r="D138" s="10" t="str">
        <x:v>P0</x:v>
      </x:c>
      <x:c r="E138" s="10" t="str">
        <x:v>POST /internal/web-search/test</x:v>
      </x:c>
      <x:c r="F138" s="10" t="str">
        <x:v>X-Internal-Api-Key；限制内部网络</x:v>
      </x:c>
      <x:c r="G13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8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8" s="10" t="str">
        <x:v>apps/ai-service/api/routes/system.py:256</x:v>
      </x:c>
      <x:c r="J138" s="11" t="str">
        <x:v>未执行</x:v>
      </x:c>
      <x:c r="K138" s="11" t="str"/>
      <x:c r="L138" s="11" t="str"/>
      <x:c r="M138" s="11" t="str"/>
      <x:c r="N138" s="12"/>
      <x:c r="O138" s="11" t="str">
        <x:v>本行实际结果分开填写正常、鉴权、越权/不存在、参数四个子结果；任一必需子项未验证不能填通过</x:v>
      </x:c>
    </x:row>
    <x:row r="139" ht="52.79999923706055" hidden="0" customHeight="1">
      <x:c r="A139" s="10" t="str">
        <x:v>API-A-026</x:v>
      </x:c>
      <x:c r="B139" s="10" t="str">
        <x:v>AI</x:v>
      </x:c>
      <x:c r="C139" s="10" t="str">
        <x:v>validate_external_source</x:v>
      </x:c>
      <x:c r="D139" s="10" t="str">
        <x:v>P0</x:v>
      </x:c>
      <x:c r="E139" s="10" t="str">
        <x:v>POST /internal/web-source/validate</x:v>
      </x:c>
      <x:c r="F139" s="10" t="str">
        <x:v>X-Internal-Api-Key；限制内部网络</x:v>
      </x:c>
      <x:c r="G13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39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39" s="10" t="str">
        <x:v>apps/ai-service/api/routes/system.py:288</x:v>
      </x:c>
      <x:c r="J139" s="11" t="str">
        <x:v>未执行</x:v>
      </x:c>
      <x:c r="K139" s="11" t="str"/>
      <x:c r="L139" s="11" t="str"/>
      <x:c r="M139" s="11" t="str"/>
      <x:c r="N139" s="12"/>
      <x:c r="O139" s="11" t="str">
        <x:v>本行实际结果分开填写正常、鉴权、越权/不存在、参数四个子结果；任一必需子项未验证不能填通过</x:v>
      </x:c>
    </x:row>
    <x:row r="140" ht="52.79999923706055" hidden="0" customHeight="1">
      <x:c r="A140" s="10" t="str">
        <x:v>API-A-027</x:v>
      </x:c>
      <x:c r="B140" s="10" t="str">
        <x:v>AI</x:v>
      </x:c>
      <x:c r="C140" s="10" t="str">
        <x:v>list_tools</x:v>
      </x:c>
      <x:c r="D140" s="10" t="str">
        <x:v>P0</x:v>
      </x:c>
      <x:c r="E140" s="10" t="str">
        <x:v>GET /internal/tools</x:v>
      </x:c>
      <x:c r="F140" s="10" t="str">
        <x:v>X-Internal-Api-Key；限制内部网络</x:v>
      </x:c>
      <x:c r="G14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40" s="10" t="str">
        <x:v>apps/ai-service/api/routes/tools.py:38</x:v>
      </x:c>
      <x:c r="J140" s="11" t="str">
        <x:v>未执行</x:v>
      </x:c>
      <x:c r="K140" s="11" t="str"/>
      <x:c r="L140" s="11" t="str"/>
      <x:c r="M140" s="11" t="str"/>
      <x:c r="N140" s="12"/>
      <x:c r="O140" s="11" t="str">
        <x:v>本行实际结果分开填写正常、鉴权、越权/不存在、参数四个子结果；任一必需子项未验证不能填通过</x:v>
      </x:c>
    </x:row>
    <x:row r="141" ht="52.79999923706055" hidden="0" customHeight="1">
      <x:c r="A141" s="10" t="str">
        <x:v>API-A-028</x:v>
      </x:c>
      <x:c r="B141" s="10" t="str">
        <x:v>AI</x:v>
      </x:c>
      <x:c r="C141" s="10" t="str">
        <x:v>reload_custom_tools</x:v>
      </x:c>
      <x:c r="D141" s="10" t="str">
        <x:v>P0</x:v>
      </x:c>
      <x:c r="E141" s="10" t="str">
        <x:v>POST /internal/tools/custom/reload</x:v>
      </x:c>
      <x:c r="F141" s="10" t="str">
        <x:v>X-Internal-Api-Key；限制内部网络</x:v>
      </x:c>
      <x:c r="G14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1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41" s="10" t="str">
        <x:v>apps/ai-service/api/routes/tools.py:50</x:v>
      </x:c>
      <x:c r="J141" s="11" t="str">
        <x:v>未执行</x:v>
      </x:c>
      <x:c r="K141" s="11" t="str"/>
      <x:c r="L141" s="11" t="str"/>
      <x:c r="M141" s="11" t="str"/>
      <x:c r="N141" s="12"/>
      <x:c r="O141" s="11" t="str">
        <x:v>本行实际结果分开填写正常、鉴权、越权/不存在、参数四个子结果；任一必需子项未验证不能填通过</x:v>
      </x:c>
    </x:row>
    <x:row r="142" ht="52.79999923706055" hidden="0" customHeight="1">
      <x:c r="A142" s="10" t="str">
        <x:v>API-A-029</x:v>
      </x:c>
      <x:c r="B142" s="10" t="str">
        <x:v>AI</x:v>
      </x:c>
      <x:c r="C142" s="10" t="str">
        <x:v>submit_tool_call</x:v>
      </x:c>
      <x:c r="D142" s="10" t="str">
        <x:v>P0</x:v>
      </x:c>
      <x:c r="E142" s="10" t="str">
        <x:v>POST /internal/tools/calls</x:v>
      </x:c>
      <x:c r="F142" s="10" t="str">
        <x:v>X-Internal-Api-Key；限制内部网络</x:v>
      </x:c>
      <x:c r="G14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2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42" s="10" t="str">
        <x:v>apps/ai-service/api/routes/tools.py:63</x:v>
      </x:c>
      <x:c r="J142" s="11" t="str">
        <x:v>未执行</x:v>
      </x:c>
      <x:c r="K142" s="11" t="str"/>
      <x:c r="L142" s="11" t="str"/>
      <x:c r="M142" s="11" t="str"/>
      <x:c r="N142" s="12"/>
      <x:c r="O142" s="11" t="str">
        <x:v>本行实际结果分开填写正常、鉴权、越权/不存在、参数四个子结果；任一必需子项未验证不能填通过</x:v>
      </x:c>
    </x:row>
    <x:row r="143" ht="52.79999923706055" hidden="0" customHeight="1">
      <x:c r="A143" s="10" t="str">
        <x:v>API-A-030</x:v>
      </x:c>
      <x:c r="B143" s="10" t="str">
        <x:v>AI</x:v>
      </x:c>
      <x:c r="C143" s="10" t="str">
        <x:v>get_tool_call</x:v>
      </x:c>
      <x:c r="D143" s="10" t="str">
        <x:v>P0</x:v>
      </x:c>
      <x:c r="E143" s="10" t="str">
        <x:v>GET /internal/tools/calls/{call_id}</x:v>
      </x:c>
      <x:c r="F143" s="10" t="str">
        <x:v>X-Internal-Api-Key；限制内部网络</x:v>
      </x:c>
      <x:c r="G143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3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43" s="10" t="str">
        <x:v>apps/ai-service/api/routes/tools.py:87</x:v>
      </x:c>
      <x:c r="J143" s="11" t="str">
        <x:v>未执行</x:v>
      </x:c>
      <x:c r="K143" s="11" t="str"/>
      <x:c r="L143" s="11" t="str"/>
      <x:c r="M143" s="11" t="str"/>
      <x:c r="N143" s="12"/>
      <x:c r="O143" s="11" t="str">
        <x:v>本行实际结果分开填写正常、鉴权、越权/不存在、参数四个子结果；任一必需子项未验证不能填通过</x:v>
      </x:c>
    </x:row>
    <x:row r="144" ht="52.79999923706055" hidden="0" customHeight="1">
      <x:c r="A144" s="10" t="str">
        <x:v>API-A-031</x:v>
      </x:c>
      <x:c r="B144" s="10" t="str">
        <x:v>AI</x:v>
      </x:c>
      <x:c r="C144" s="10" t="str">
        <x:v>cancel_tool_call</x:v>
      </x:c>
      <x:c r="D144" s="10" t="str">
        <x:v>P0</x:v>
      </x:c>
      <x:c r="E144" s="10" t="str">
        <x:v>POST /internal/tools/calls/{call_id}/cancel</x:v>
      </x:c>
      <x:c r="F144" s="10" t="str">
        <x:v>X-Internal-Api-Key；限制内部网络</x:v>
      </x:c>
      <x:c r="G144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4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44" s="10" t="str">
        <x:v>apps/ai-service/api/routes/tools.py:98</x:v>
      </x:c>
      <x:c r="J144" s="11" t="str">
        <x:v>未执行</x:v>
      </x:c>
      <x:c r="K144" s="11" t="str"/>
      <x:c r="L144" s="11" t="str"/>
      <x:c r="M144" s="11" t="str"/>
      <x:c r="N144" s="12"/>
      <x:c r="O144" s="11" t="str">
        <x:v>本行实际结果分开填写正常、鉴权、越权/不存在、参数四个子结果；任一必需子项未验证不能填通过</x:v>
      </x:c>
    </x:row>
    <x:row r="145" ht="52.79999923706055" hidden="0" customHeight="1">
      <x:c r="A145" s="10" t="str">
        <x:v>API-A-032</x:v>
      </x:c>
      <x:c r="B145" s="10" t="str">
        <x:v>AI</x:v>
      </x:c>
      <x:c r="C145" s="10" t="str">
        <x:v>submit_tool_chain</x:v>
      </x:c>
      <x:c r="D145" s="10" t="str">
        <x:v>P0</x:v>
      </x:c>
      <x:c r="E145" s="10" t="str">
        <x:v>POST /internal/tools/chains</x:v>
      </x:c>
      <x:c r="F145" s="10" t="str">
        <x:v>X-Internal-Api-Key；限制内部网络</x:v>
      </x:c>
      <x:c r="G145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5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45" s="10" t="str">
        <x:v>apps/ai-service/api/routes/tools.py:110</x:v>
      </x:c>
      <x:c r="J145" s="11" t="str">
        <x:v>未执行</x:v>
      </x:c>
      <x:c r="K145" s="11" t="str"/>
      <x:c r="L145" s="11" t="str"/>
      <x:c r="M145" s="11" t="str"/>
      <x:c r="N145" s="12"/>
      <x:c r="O145" s="11" t="str">
        <x:v>本行实际结果分开填写正常、鉴权、越权/不存在、参数四个子结果；任一必需子项未验证不能填通过</x:v>
      </x:c>
    </x:row>
    <x:row r="146" ht="52.79999923706055" hidden="0" customHeight="1">
      <x:c r="A146" s="10" t="str">
        <x:v>API-A-033</x:v>
      </x:c>
      <x:c r="B146" s="10" t="str">
        <x:v>AI</x:v>
      </x:c>
      <x:c r="C146" s="10" t="str">
        <x:v>get_tool_chain</x:v>
      </x:c>
      <x:c r="D146" s="10" t="str">
        <x:v>P0</x:v>
      </x:c>
      <x:c r="E146" s="10" t="str">
        <x:v>GET /internal/tools/chains/{chain_id}</x:v>
      </x:c>
      <x:c r="F146" s="10" t="str">
        <x:v>X-Internal-Api-Key；限制内部网络</x:v>
      </x:c>
      <x:c r="G146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6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46" s="10" t="str">
        <x:v>apps/ai-service/api/routes/tools.py:144</x:v>
      </x:c>
      <x:c r="J146" s="11" t="str">
        <x:v>未执行</x:v>
      </x:c>
      <x:c r="K146" s="11" t="str"/>
      <x:c r="L146" s="11" t="str"/>
      <x:c r="M146" s="11" t="str"/>
      <x:c r="N146" s="12"/>
      <x:c r="O146" s="11" t="str">
        <x:v>本行实际结果分开填写正常、鉴权、越权/不存在、参数四个子结果；任一必需子项未验证不能填通过</x:v>
      </x:c>
    </x:row>
    <x:row r="147" ht="52.79999923706055" hidden="0" customHeight="1">
      <x:c r="A147" s="10" t="str">
        <x:v>API-A-034</x:v>
      </x:c>
      <x:c r="B147" s="10" t="str">
        <x:v>AI</x:v>
      </x:c>
      <x:c r="C147" s="10" t="str">
        <x:v>cancel_tool_chain</x:v>
      </x:c>
      <x:c r="D147" s="10" t="str">
        <x:v>P0</x:v>
      </x:c>
      <x:c r="E147" s="10" t="str">
        <x:v>POST /internal/tools/chains/{chain_id}/cancel</x:v>
      </x:c>
      <x:c r="F147" s="10" t="str">
        <x:v>X-Internal-Api-Key；限制内部网络</x:v>
      </x:c>
      <x:c r="G147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7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47" s="10" t="str">
        <x:v>apps/ai-service/api/routes/tools.py:155</x:v>
      </x:c>
      <x:c r="J147" s="11" t="str">
        <x:v>未执行</x:v>
      </x:c>
      <x:c r="K147" s="11" t="str"/>
      <x:c r="L147" s="11" t="str"/>
      <x:c r="M147" s="11" t="str"/>
      <x:c r="N147" s="12"/>
      <x:c r="O147" s="11" t="str">
        <x:v>本行实际结果分开填写正常、鉴权、越权/不存在、参数四个子结果；任一必需子项未验证不能填通过</x:v>
      </x:c>
    </x:row>
    <x:row r="148" ht="52.79999923706055" hidden="0" customHeight="1">
      <x:c r="A148" s="10" t="str">
        <x:v>API-F-001</x:v>
      </x:c>
      <x:c r="B148" s="10" t="str">
        <x:v>Java</x:v>
      </x:c>
      <x:c r="C148" s="10" t="str">
        <x:v>Spring Security logout</x:v>
      </x:c>
      <x:c r="D148" s="10" t="str">
        <x:v>P1</x:v>
      </x:c>
      <x:c r="E148" s="10" t="str">
        <x:v>POST /auth/logout</x:v>
      </x:c>
      <x:c r="F148" s="10" t="str">
        <x:v>Cookie 会话；写入需要有效 CSRF</x:v>
      </x:c>
      <x:c r="G148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8" s="10" t="str">
        <x:v>有效请求按契约成功且可回读/追踪；失败请求无副作用；后台接受必须追踪真实终态；重复提交策略明确
未授权/跨范围请求无读写效果；输入错误返回合理 4xx 或明确失败；拒绝情况不能 200 伪成功；内部错误不泄露凭据</x:v>
      </x:c>
      <x:c r="I148" s="10" t="str">
        <x:v>apps/backend/src/main/java/com/cuupe/backend/config/security/SecurityConfig.java:193</x:v>
      </x:c>
      <x:c r="J148" s="11" t="str">
        <x:v>未执行</x:v>
      </x:c>
      <x:c r="K148" s="11" t="str"/>
      <x:c r="L148" s="11" t="str"/>
      <x:c r="M148" s="11" t="str"/>
      <x:c r="N148" s="12"/>
      <x:c r="O148" s="11" t="str">
        <x:v>本行实际结果分开填写正常、鉴权、越权/不存在、参数四个子结果；任一必需子项未验证不能填通过</x:v>
      </x:c>
    </x:row>
    <x:row r="149" ht="52.79999923706055" hidden="0" customHeight="1">
      <x:c r="A149" s="10" t="str">
        <x:v>API-F-002</x:v>
      </x:c>
      <x:c r="B149" s="10" t="str">
        <x:v>Java</x:v>
      </x:c>
      <x:c r="C149" s="10" t="str">
        <x:v>Actuator health</x:v>
      </x:c>
      <x:c r="D149" s="10" t="str">
        <x:v>P1</x:v>
      </x:c>
      <x:c r="E149" s="10" t="str">
        <x:v>GET /actuator/health</x:v>
      </x:c>
      <x:c r="F149" s="10" t="str">
        <x:v>Cookie 会话；写入需要有效 CSRF</x:v>
      </x:c>
      <x:c r="G149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49" s="10" t="str">
        <x:v>认证后的健康为 UP；未认证 401 不能作为 UP 证据；依赖故障能被探针识别
未授权/跨范围请求无读写效果；输入错误返回合理 4xx 或明确失败；拒绝情况不能 200 伪成功；内部错误不泄露凭据</x:v>
      </x:c>
      <x:c r="I149" s="10" t="str">
        <x:v>apps/backend/src/main/resources/application.yml:1</x:v>
      </x:c>
      <x:c r="J149" s="11" t="str">
        <x:v>未执行</x:v>
      </x:c>
      <x:c r="K149" s="11" t="str"/>
      <x:c r="L149" s="11" t="str"/>
      <x:c r="M149" s="11" t="str"/>
      <x:c r="N149" s="12"/>
      <x:c r="O149" s="11" t="str">
        <x:v>本行实际结果分开填写正常、鉴权、越权/不存在、参数四个子结果；任一必需子项未验证不能填通过</x:v>
      </x:c>
    </x:row>
    <x:row r="150" ht="52.79999923706055" hidden="0" customHeight="1">
      <x:c r="A150" s="10" t="str">
        <x:v>API-F-003</x:v>
      </x:c>
      <x:c r="B150" s="10" t="str">
        <x:v>AI</x:v>
      </x:c>
      <x:c r="C150" s="10" t="str">
        <x:v>Swagger UI</x:v>
      </x:c>
      <x:c r="D150" s="10" t="str">
        <x:v>P1</x:v>
      </x:c>
      <x:c r="E150" s="10" t="str">
        <x:v>GET /docs</x:v>
      </x:c>
      <x:c r="F150" s="10" t="str">
        <x:v>公开入口；仍校验输入与限流</x:v>
      </x:c>
      <x:c r="G150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50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50" s="10" t="str">
        <x:v>apps/ai-service/api/application.py:58</x:v>
      </x:c>
      <x:c r="J150" s="11" t="str">
        <x:v>未执行</x:v>
      </x:c>
      <x:c r="K150" s="11" t="str"/>
      <x:c r="L150" s="11" t="str"/>
      <x:c r="M150" s="11" t="str"/>
      <x:c r="N150" s="12"/>
      <x:c r="O150" s="11" t="str">
        <x:v>本行实际结果分开填写正常、鉴权、越权/不存在、参数四个子结果；任一必需子项未验证不能填通过</x:v>
      </x:c>
    </x:row>
    <x:row r="151" ht="52.79999923706055" hidden="0" customHeight="1">
      <x:c r="A151" s="10" t="str">
        <x:v>API-F-004</x:v>
      </x:c>
      <x:c r="B151" s="10" t="str">
        <x:v>AI</x:v>
      </x:c>
      <x:c r="C151" s="10" t="str">
        <x:v>ReDoc</x:v>
      </x:c>
      <x:c r="D151" s="10" t="str">
        <x:v>P1</x:v>
      </x:c>
      <x:c r="E151" s="10" t="str">
        <x:v>GET /redoc</x:v>
      </x:c>
      <x:c r="F151" s="10" t="str">
        <x:v>公开入口；仍校验输入与限流</x:v>
      </x:c>
      <x:c r="G151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51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51" s="10" t="str">
        <x:v>apps/ai-service/api/application.py:58</x:v>
      </x:c>
      <x:c r="J151" s="11" t="str">
        <x:v>未执行</x:v>
      </x:c>
      <x:c r="K151" s="11" t="str"/>
      <x:c r="L151" s="11" t="str"/>
      <x:c r="M151" s="11" t="str"/>
      <x:c r="N151" s="12"/>
      <x:c r="O151" s="11" t="str">
        <x:v>本行实际结果分开填写正常、鉴权、越权/不存在、参数四个子结果；任一必需子项未验证不能填通过</x:v>
      </x:c>
    </x:row>
    <x:row r="152" ht="52.79999923706055" hidden="0" customHeight="1">
      <x:c r="A152" s="10" t="str">
        <x:v>API-F-005</x:v>
      </x:c>
      <x:c r="B152" s="10" t="str">
        <x:v>AI</x:v>
      </x:c>
      <x:c r="C152" s="10" t="str">
        <x:v>OpenAPI schema</x:v>
      </x:c>
      <x:c r="D152" s="10" t="str">
        <x:v>P1</x:v>
      </x:c>
      <x:c r="E152" s="10" t="str">
        <x:v>GET /openapi.json</x:v>
      </x:c>
      <x:c r="F152" s="10" t="str">
        <x:v>公开入口；仍校验输入与限流</x:v>
      </x:c>
      <x:c r="G152" s="10" t="str">
        <x:v>1. 按 API 操作说明使用合法身份与有效对象/请求体执行本接口。
2. 保存响应/流/下载与实际副作用。
3. 未登录或错误内部 key 重试（公开接口改测非法输入与限流）。
4. 换成其他工作区/项目/用户对象，测试不存在 ID 和错误参数；写操作用新 QA 副本。</x:v>
      </x:c>
      <x:c r="H152" s="10" t="str">
        <x:v>返回真实授权范围的数据、文件、事件流或文档；空结果与请求失败区分；无敏感字段泄露
未授权/跨范围请求无读写效果；输入错误返回合理 4xx 或明确失败；拒绝情况不能 200 伪成功；内部错误不泄露凭据</x:v>
      </x:c>
      <x:c r="I152" s="10" t="str">
        <x:v>apps/ai-service/api/application.py:58</x:v>
      </x:c>
      <x:c r="J152" s="11" t="str">
        <x:v>未执行</x:v>
      </x:c>
      <x:c r="K152" s="11" t="str"/>
      <x:c r="L152" s="11" t="str"/>
      <x:c r="M152" s="11" t="str"/>
      <x:c r="N152" s="12"/>
      <x:c r="O152" s="11" t="str">
        <x:v>本行实际结果分开填写正常、鉴权、越权/不存在、参数四个子结果；任一必需子项未验证不能填通过</x:v>
      </x:c>
    </x:row>
  </x:sheetData>
  <x:conditionalFormatting sqref="J6:J152">
    <x:cfRule type="containsText" dxfId="3" priority="1" operator="containsText" text="失败"/>
    <x:cfRule type="containsText" dxfId="4" priority="2" operator="containsText" text="阻塞"/>
  </x:conditionalFormatting>
  <x:conditionalFormatting sqref="D6:D152">
    <x:cfRule type="containsText" dxfId="5" priority="3" operator="containsText" text="P0"/>
  </x:conditionalFormatting>
  <x:dataValidations count="1">
    <x:dataValidation type="list" sqref="J6:J152">
      <x:formula1>"未执行,执行中,通过,失败,阻塞,不适用"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80725ccec47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8" hidden="0" customWidth="1"/>
    <x:col min="4" max="4" width="18" hidden="0" customWidth="1"/>
    <x:col min="5" max="5" width="40" hidden="0" customWidth="1"/>
    <x:col min="6" max="6" width="80" hidden="0" customWidth="1"/>
    <x:col min="7" max="7" width="70" hidden="0" customWidth="1"/>
    <x:col min="8" max="8" width="70" hidden="0" customWidth="1"/>
    <x:col min="9" max="9" width="15" hidden="0" customWidth="1"/>
    <x:col min="10" max="10" width="50" hidden="0" customWidth="1"/>
    <x:col min="11" max="11" width="16" hidden="0" customWidth="1"/>
    <x:col min="12" max="12" width="28" hidden="0" customWidth="1"/>
    <x:col min="13" max="13" width="48" hidden="0" customWidth="1"/>
    <x:col min="14" max="14" width="28" hidden="0" customWidth="1"/>
    <x:col min="15" max="15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6" customHeight="1">
      <x:c r="A2" s="3" t="str">
        <x:v>缺陷与复验记录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初始 GAP-001 来自源码确认；其他缺陷按实测填写。未关闭 S0/S1 为上线阻塞。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0" customHeight="1">
      <x:c r="A5" s="8" t="str">
        <x:v>缺陷编号</x:v>
      </x:c>
      <x:c r="B5" s="8" t="str">
        <x:v>严重度</x:v>
      </x:c>
      <x:c r="C5" s="8" t="str">
        <x:v>关联用例</x:v>
      </x:c>
      <x:c r="D5" s="8" t="str">
        <x:v>模块</x:v>
      </x:c>
      <x:c r="E5" s="8" t="str">
        <x:v>标题</x:v>
      </x:c>
      <x:c r="F5" s="8" t="str">
        <x:v>复现步骤 / 源码依据</x:v>
      </x:c>
      <x:c r="G5" s="8" t="str">
        <x:v>预期结果</x:v>
      </x:c>
      <x:c r="H5" s="8" t="str">
        <x:v>实际结果</x:v>
      </x:c>
      <x:c r="I5" s="8" t="str">
        <x:v>状态</x:v>
      </x:c>
      <x:c r="J5" s="8" t="str">
        <x:v>证据位置</x:v>
      </x:c>
      <x:c r="K5" s="8" t="str">
        <x:v>处理人</x:v>
      </x:c>
      <x:c r="L5" s="8" t="str">
        <x:v>修复版本</x:v>
      </x:c>
      <x:c r="M5" s="8" t="str">
        <x:v>复验结果</x:v>
      </x:c>
      <x:c r="N5" s="8" t="str">
        <x:v>复验人 / 日期</x:v>
      </x:c>
      <x:c r="O5" s="8" t="str">
        <x:v>备注</x:v>
      </x:c>
    </x:row>
    <x:row r="6" ht="15" hidden="0" customHeight="1">
      <x:c r="A6" s="11" t="str">
        <x:v>GAP-001</x:v>
      </x:c>
      <x:c r="B6" s="11" t="str">
        <x:v>S1</x:v>
      </x:c>
      <x:c r="C6" s="11" t="str">
        <x:v>ENV-012；AUTH 短信相关项</x:v>
      </x:c>
      <x:c r="D6" s="11" t="str">
        <x:v>认证</x:v>
      </x:c>
      <x:c r="E6" s="11" t="str">
        <x:v>尚未接入真实短信发送</x:v>
      </x:c>
      <x:c r="F6" s="11" t="str">
        <x:v>AuthServiceImpl.generateSms：验证码写 Redis 后直接返回，没有提供商发送调用</x:v>
      </x:c>
      <x:c r="G6" s="11" t="str">
        <x:v>注册、短信登录、重置、改密/换绑真实送达验证码</x:v>
      </x:c>
      <x:c r="H6" s="11" t="str">
        <x:v>源码已确认未发送；需要真实环境送达证据</x:v>
      </x:c>
      <x:c r="I6" s="11" t="str">
        <x:v>待修复</x:v>
      </x:c>
      <x:c r="J6" s="11" t="str">
        <x:v>01-acceptance-plan.md 第5节</x:v>
      </x:c>
      <x:c r="K6" s="11" t="str"/>
      <x:c r="L6" s="11" t="str"/>
      <x:c r="M6" s="11" t="str"/>
      <x:c r="N6" s="11" t="str"/>
      <x:c r="O6" s="11" t="str">
        <x:v>真实短信若在交付范围，此项阻塞上线；不能用读取 Redis 验证码判通过</x:v>
      </x:c>
    </x:row>
    <x:row r="7" ht="15" hidden="0" customHeight="1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</x:row>
    <x:row r="8" ht="15" hidden="0" customHeight="1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</x:row>
    <x:row r="9" ht="15" hidden="0" customHeight="1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  <x:c r="J9" s="11" t="str"/>
      <x:c r="K9" s="11" t="str"/>
      <x:c r="L9" s="11" t="str"/>
      <x:c r="M9" s="11" t="str"/>
      <x:c r="N9" s="11" t="str"/>
      <x:c r="O9" s="11" t="str"/>
    </x:row>
    <x:row r="10" ht="15" hidden="0" customHeight="1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  <x:c r="J10" s="11" t="str"/>
      <x:c r="K10" s="11" t="str"/>
      <x:c r="L10" s="11" t="str"/>
      <x:c r="M10" s="11" t="str"/>
      <x:c r="N10" s="11" t="str"/>
      <x:c r="O10" s="11" t="str"/>
    </x:row>
    <x:row r="11" ht="15" hidden="0" customHeight="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  <x:c r="J11" s="11" t="str"/>
      <x:c r="K11" s="11" t="str"/>
      <x:c r="L11" s="11" t="str"/>
      <x:c r="M11" s="11" t="str"/>
      <x:c r="N11" s="11" t="str"/>
      <x:c r="O11" s="11" t="str"/>
    </x:row>
    <x:row r="12" ht="15" hidden="0" customHeight="1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/>
      <x:c r="L12" s="11" t="str"/>
      <x:c r="M12" s="11" t="str"/>
      <x:c r="N12" s="11" t="str"/>
      <x:c r="O12" s="11" t="str"/>
    </x:row>
    <x:row r="13" ht="15" hidden="0" customHeight="1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  <x:c r="O13" s="11" t="str"/>
    </x:row>
    <x:row r="14" ht="15" hidden="0" customHeight="1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  <x:c r="K14" s="11" t="str"/>
      <x:c r="L14" s="11" t="str"/>
      <x:c r="M14" s="11" t="str"/>
      <x:c r="N14" s="11" t="str"/>
      <x:c r="O14" s="11" t="str"/>
    </x:row>
    <x:row r="15" ht="15" hidden="0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  <x:c r="K15" s="11" t="str"/>
      <x:c r="L15" s="11" t="str"/>
      <x:c r="M15" s="11" t="str"/>
      <x:c r="N15" s="11" t="str"/>
      <x:c r="O15" s="11" t="str"/>
    </x:row>
    <x:row r="16" ht="15" hidden="0" customHeight="1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  <x:c r="J16" s="11" t="str"/>
      <x:c r="K16" s="11" t="str"/>
      <x:c r="L16" s="11" t="str"/>
      <x:c r="M16" s="11" t="str"/>
      <x:c r="N16" s="11" t="str"/>
      <x:c r="O16" s="11" t="str"/>
    </x:row>
    <x:row r="17" ht="15" hidden="0" customHeight="1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  <x:c r="J17" s="11" t="str"/>
      <x:c r="K17" s="11" t="str"/>
      <x:c r="L17" s="11" t="str"/>
      <x:c r="M17" s="11" t="str"/>
      <x:c r="N17" s="11" t="str"/>
      <x:c r="O17" s="11" t="str"/>
    </x:row>
    <x:row r="18" ht="15" hidden="0" customHeight="1">
      <x:c r="A18" s="11" t="str"/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  <x:c r="J18" s="11" t="str"/>
      <x:c r="K18" s="11" t="str"/>
      <x:c r="L18" s="11" t="str"/>
      <x:c r="M18" s="11" t="str"/>
      <x:c r="N18" s="11" t="str"/>
      <x:c r="O18" s="11" t="str"/>
    </x:row>
    <x:row r="19" ht="15" hidden="0" customHeight="1">
      <x:c r="A19" s="11" t="str"/>
      <x:c r="B19" s="11" t="str"/>
      <x:c r="C19" s="11" t="str"/>
      <x:c r="D19" s="11" t="str"/>
      <x:c r="E19" s="11" t="str"/>
      <x:c r="F19" s="11" t="str"/>
      <x:c r="G19" s="11" t="str"/>
      <x:c r="H19" s="11" t="str"/>
      <x:c r="I19" s="11" t="str"/>
      <x:c r="J19" s="11" t="str"/>
      <x:c r="K19" s="11" t="str"/>
      <x:c r="L19" s="11" t="str"/>
      <x:c r="M19" s="11" t="str"/>
      <x:c r="N19" s="11" t="str"/>
      <x:c r="O19" s="11" t="str"/>
    </x:row>
    <x:row r="20" ht="15" hidden="0" customHeight="1">
      <x:c r="A20" s="11" t="str"/>
      <x:c r="B20" s="11" t="str"/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  <x:c r="N20" s="11" t="str"/>
      <x:c r="O20" s="11" t="str"/>
    </x:row>
    <x:row r="21" ht="15" hidden="0" customHeight="1">
      <x:c r="A21" s="11" t="str"/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/>
      <x:c r="M21" s="11" t="str"/>
      <x:c r="N21" s="11" t="str"/>
      <x:c r="O21" s="11" t="str"/>
    </x:row>
    <x:row r="22" ht="15" hidden="0" customHeight="1">
      <x:c r="A22" s="11" t="str"/>
      <x:c r="B22" s="11" t="str"/>
      <x:c r="C22" s="11" t="str"/>
      <x:c r="D22" s="11" t="str"/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  <x:c r="N22" s="11" t="str"/>
      <x:c r="O22" s="11" t="str"/>
    </x:row>
    <x:row r="23" ht="15" hidden="0" customHeight="1">
      <x:c r="A23" s="11" t="str"/>
      <x:c r="B23" s="11" t="str"/>
      <x:c r="C23" s="11" t="str"/>
      <x:c r="D23" s="11" t="str"/>
      <x:c r="E23" s="11" t="str"/>
      <x:c r="F23" s="11" t="str"/>
      <x:c r="G23" s="11" t="str"/>
      <x:c r="H23" s="11" t="str"/>
      <x:c r="I23" s="11" t="str"/>
      <x:c r="J23" s="11" t="str"/>
      <x:c r="K23" s="11" t="str"/>
      <x:c r="L23" s="11" t="str"/>
      <x:c r="M23" s="11" t="str"/>
      <x:c r="N23" s="11" t="str"/>
      <x:c r="O23" s="11" t="str"/>
    </x:row>
    <x:row r="24" ht="15" hidden="0" customHeight="1">
      <x:c r="A24" s="11" t="str"/>
      <x:c r="B24" s="11" t="str"/>
      <x:c r="C24" s="11" t="str"/>
      <x:c r="D24" s="11" t="str"/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  <x:c r="O24" s="11" t="str"/>
    </x:row>
    <x:row r="25" ht="15" hidden="0" customHeight="1">
      <x:c r="A25" s="11" t="str"/>
      <x:c r="B25" s="11" t="str"/>
      <x:c r="C25" s="11" t="str"/>
      <x:c r="D25" s="11" t="str"/>
      <x:c r="E25" s="11" t="str"/>
      <x:c r="F25" s="11" t="str"/>
      <x:c r="G25" s="11" t="str"/>
      <x:c r="H25" s="11" t="str"/>
      <x:c r="I25" s="11" t="str"/>
      <x:c r="J25" s="11" t="str"/>
      <x:c r="K25" s="11" t="str"/>
      <x:c r="L25" s="11" t="str"/>
      <x:c r="M25" s="11" t="str"/>
      <x:c r="N25" s="11" t="str"/>
      <x:c r="O25" s="11" t="str"/>
    </x:row>
    <x:row r="26" ht="15" hidden="0" customHeight="1">
      <x:c r="A26" s="11" t="str"/>
      <x:c r="B26" s="11" t="str"/>
      <x:c r="C26" s="11" t="str"/>
      <x:c r="D26" s="11" t="str"/>
      <x:c r="E26" s="11" t="str"/>
      <x:c r="F26" s="11" t="str"/>
      <x:c r="G26" s="11" t="str"/>
      <x:c r="H26" s="11" t="str"/>
      <x:c r="I26" s="11" t="str"/>
      <x:c r="J26" s="11" t="str"/>
      <x:c r="K26" s="11" t="str"/>
      <x:c r="L26" s="11" t="str"/>
      <x:c r="M26" s="11" t="str"/>
      <x:c r="N26" s="11" t="str"/>
      <x:c r="O26" s="11" t="str"/>
    </x:row>
    <x:row r="27" ht="15" hidden="0" customHeight="1">
      <x:c r="A27" s="11" t="str"/>
      <x:c r="B27" s="11" t="str"/>
      <x:c r="C27" s="11" t="str"/>
      <x:c r="D27" s="11" t="str"/>
      <x:c r="E27" s="11" t="str"/>
      <x:c r="F27" s="11" t="str"/>
      <x:c r="G27" s="11" t="str"/>
      <x:c r="H27" s="11" t="str"/>
      <x:c r="I27" s="11" t="str"/>
      <x:c r="J27" s="11" t="str"/>
      <x:c r="K27" s="11" t="str"/>
      <x:c r="L27" s="11" t="str"/>
      <x:c r="M27" s="11" t="str"/>
      <x:c r="N27" s="11" t="str"/>
      <x:c r="O27" s="11" t="str"/>
    </x:row>
    <x:row r="28" ht="15" hidden="0" customHeight="1">
      <x:c r="A28" s="11" t="str"/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  <x:c r="J28" s="11" t="str"/>
      <x:c r="K28" s="11" t="str"/>
      <x:c r="L28" s="11" t="str"/>
      <x:c r="M28" s="11" t="str"/>
      <x:c r="N28" s="11" t="str"/>
      <x:c r="O28" s="11" t="str"/>
    </x:row>
    <x:row r="29" ht="15" hidden="0" customHeight="1">
      <x:c r="A29" s="11" t="str"/>
      <x:c r="B29" s="11" t="str"/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  <x:c r="N29" s="11" t="str"/>
      <x:c r="O29" s="11" t="str"/>
    </x:row>
    <x:row r="30" ht="15" hidden="0" customHeight="1">
      <x:c r="A30" s="11" t="str"/>
      <x:c r="B30" s="11" t="str"/>
      <x:c r="C30" s="11" t="str"/>
      <x:c r="D30" s="11" t="str"/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/>
      <x:c r="M30" s="11" t="str"/>
      <x:c r="N30" s="11" t="str"/>
      <x:c r="O30" s="11" t="str"/>
    </x:row>
    <x:row r="31" ht="15" hidden="0" customHeight="1">
      <x:c r="A31" s="11" t="str"/>
      <x:c r="B31" s="11" t="str"/>
      <x:c r="C31" s="11" t="str"/>
      <x:c r="D31" s="11" t="str"/>
      <x:c r="E31" s="11" t="str"/>
      <x:c r="F31" s="11" t="str"/>
      <x:c r="G31" s="11" t="str"/>
      <x:c r="H31" s="11" t="str"/>
      <x:c r="I31" s="11" t="str"/>
      <x:c r="J31" s="11" t="str"/>
      <x:c r="K31" s="11" t="str"/>
      <x:c r="L31" s="11" t="str"/>
      <x:c r="M31" s="11" t="str"/>
      <x:c r="N31" s="11" t="str"/>
      <x:c r="O31" s="11" t="str"/>
    </x:row>
    <x:row r="32" ht="15" hidden="0" customHeight="1">
      <x:c r="A32" s="11" t="str"/>
      <x:c r="B32" s="11" t="str"/>
      <x:c r="C32" s="11" t="str"/>
      <x:c r="D32" s="11" t="str"/>
      <x:c r="E32" s="11" t="str"/>
      <x:c r="F32" s="11" t="str"/>
      <x:c r="G32" s="11" t="str"/>
      <x:c r="H32" s="11" t="str"/>
      <x:c r="I32" s="11" t="str"/>
      <x:c r="J32" s="11" t="str"/>
      <x:c r="K32" s="11" t="str"/>
      <x:c r="L32" s="11" t="str"/>
      <x:c r="M32" s="11" t="str"/>
      <x:c r="N32" s="11" t="str"/>
      <x:c r="O32" s="11" t="str"/>
    </x:row>
    <x:row r="33" ht="15" hidden="0" customHeight="1">
      <x:c r="A33" s="11" t="str"/>
      <x:c r="B33" s="11" t="str"/>
      <x:c r="C33" s="11" t="str"/>
      <x:c r="D33" s="11" t="str"/>
      <x:c r="E33" s="11" t="str"/>
      <x:c r="F33" s="11" t="str"/>
      <x:c r="G33" s="11" t="str"/>
      <x:c r="H33" s="11" t="str"/>
      <x:c r="I33" s="11" t="str"/>
      <x:c r="J33" s="11" t="str"/>
      <x:c r="K33" s="11" t="str"/>
      <x:c r="L33" s="11" t="str"/>
      <x:c r="M33" s="11" t="str"/>
      <x:c r="N33" s="11" t="str"/>
      <x:c r="O33" s="11" t="str"/>
    </x:row>
    <x:row r="34" ht="15" hidden="0" customHeight="1">
      <x:c r="A34" s="11" t="str"/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  <x:c r="O34" s="11" t="str"/>
    </x:row>
    <x:row r="35" ht="15" hidden="0" customHeight="1">
      <x:c r="A35" s="11" t="str"/>
      <x:c r="B35" s="11" t="str"/>
      <x:c r="C35" s="11" t="str"/>
      <x:c r="D35" s="11" t="str"/>
      <x:c r="E35" s="11" t="str"/>
      <x:c r="F35" s="11" t="str"/>
      <x:c r="G35" s="11" t="str"/>
      <x:c r="H35" s="11" t="str"/>
      <x:c r="I35" s="11" t="str"/>
      <x:c r="J35" s="11" t="str"/>
      <x:c r="K35" s="11" t="str"/>
      <x:c r="L35" s="11" t="str"/>
      <x:c r="M35" s="11" t="str"/>
      <x:c r="N35" s="11" t="str"/>
      <x:c r="O35" s="11" t="str"/>
    </x:row>
    <x:row r="36" ht="15" hidden="0" customHeight="1">
      <x:c r="A36" s="11" t="str"/>
      <x:c r="B36" s="11" t="str"/>
      <x:c r="C36" s="11" t="str"/>
      <x:c r="D36" s="11" t="str"/>
      <x:c r="E36" s="11" t="str"/>
      <x:c r="F36" s="11" t="str"/>
      <x:c r="G36" s="11" t="str"/>
      <x:c r="H36" s="11" t="str"/>
      <x:c r="I36" s="11" t="str"/>
      <x:c r="J36" s="11" t="str"/>
      <x:c r="K36" s="11" t="str"/>
      <x:c r="L36" s="11" t="str"/>
      <x:c r="M36" s="11" t="str"/>
      <x:c r="N36" s="11" t="str"/>
      <x:c r="O36" s="11" t="str"/>
    </x:row>
    <x:row r="37" ht="15" hidden="0" customHeight="1">
      <x:c r="A37" s="11" t="str"/>
      <x:c r="B37" s="11" t="str"/>
      <x:c r="C37" s="11" t="str"/>
      <x:c r="D37" s="11" t="str"/>
      <x:c r="E37" s="11" t="str"/>
      <x:c r="F37" s="11" t="str"/>
      <x:c r="G37" s="11" t="str"/>
      <x:c r="H37" s="11" t="str"/>
      <x:c r="I37" s="11" t="str"/>
      <x:c r="J37" s="11" t="str"/>
      <x:c r="K37" s="11" t="str"/>
      <x:c r="L37" s="11" t="str"/>
      <x:c r="M37" s="11" t="str"/>
      <x:c r="N37" s="11" t="str"/>
      <x:c r="O37" s="11" t="str"/>
    </x:row>
    <x:row r="38" ht="15" hidden="0" customHeight="1">
      <x:c r="A38" s="11" t="str"/>
      <x:c r="B38" s="11" t="str"/>
      <x:c r="C38" s="11" t="str"/>
      <x:c r="D38" s="11" t="str"/>
      <x:c r="E38" s="11" t="str"/>
      <x:c r="F38" s="11" t="str"/>
      <x:c r="G38" s="11" t="str"/>
      <x:c r="H38" s="11" t="str"/>
      <x:c r="I38" s="11" t="str"/>
      <x:c r="J38" s="11" t="str"/>
      <x:c r="K38" s="11" t="str"/>
      <x:c r="L38" s="11" t="str"/>
      <x:c r="M38" s="11" t="str"/>
      <x:c r="N38" s="11" t="str"/>
      <x:c r="O38" s="11" t="str"/>
    </x:row>
    <x:row r="39" ht="15" hidden="0" customHeight="1">
      <x:c r="A39" s="11" t="str"/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  <x:c r="J39" s="11" t="str"/>
      <x:c r="K39" s="11" t="str"/>
      <x:c r="L39" s="11" t="str"/>
      <x:c r="M39" s="11" t="str"/>
      <x:c r="N39" s="11" t="str"/>
      <x:c r="O39" s="11" t="str"/>
    </x:row>
    <x:row r="40" ht="15" hidden="0" customHeight="1">
      <x:c r="A40" s="11" t="str"/>
      <x:c r="B40" s="11" t="str"/>
      <x:c r="C40" s="11" t="str"/>
      <x:c r="D40" s="11" t="str"/>
      <x:c r="E40" s="11" t="str"/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  <x:c r="N40" s="11" t="str"/>
      <x:c r="O40" s="11" t="str"/>
    </x:row>
    <x:row r="41" ht="15" hidden="0" customHeight="1">
      <x:c r="A41" s="11" t="str"/>
      <x:c r="B41" s="11" t="str"/>
      <x:c r="C41" s="11" t="str"/>
      <x:c r="D41" s="11" t="str"/>
      <x:c r="E41" s="11" t="str"/>
      <x:c r="F41" s="11" t="str"/>
      <x:c r="G41" s="11" t="str"/>
      <x:c r="H41" s="11" t="str"/>
      <x:c r="I41" s="11" t="str"/>
      <x:c r="J41" s="11" t="str"/>
      <x:c r="K41" s="11" t="str"/>
      <x:c r="L41" s="11" t="str"/>
      <x:c r="M41" s="11" t="str"/>
      <x:c r="N41" s="11" t="str"/>
      <x:c r="O41" s="11" t="str"/>
    </x:row>
    <x:row r="42" ht="15" hidden="0" customHeight="1">
      <x:c r="A42" s="11" t="str"/>
      <x:c r="B42" s="11" t="str"/>
      <x:c r="C42" s="11" t="str"/>
      <x:c r="D42" s="11" t="str"/>
      <x:c r="E42" s="11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  <x:c r="O42" s="11" t="str"/>
    </x:row>
    <x:row r="43" ht="15" hidden="0" customHeight="1">
      <x:c r="A43" s="11" t="str"/>
      <x:c r="B43" s="11" t="str"/>
      <x:c r="C43" s="11" t="str"/>
      <x:c r="D43" s="11" t="str"/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  <x:c r="N43" s="11" t="str"/>
      <x:c r="O43" s="11" t="str"/>
    </x:row>
    <x:row r="44" ht="15" hidden="0" customHeight="1">
      <x:c r="A44" s="11" t="str"/>
      <x:c r="B44" s="11" t="str"/>
      <x:c r="C44" s="11" t="str"/>
      <x:c r="D44" s="11" t="str"/>
      <x:c r="E44" s="11" t="str"/>
      <x:c r="F44" s="11" t="str"/>
      <x:c r="G44" s="11" t="str"/>
      <x:c r="H44" s="11" t="str"/>
      <x:c r="I44" s="11" t="str"/>
      <x:c r="J44" s="11" t="str"/>
      <x:c r="K44" s="11" t="str"/>
      <x:c r="L44" s="11" t="str"/>
      <x:c r="M44" s="11" t="str"/>
      <x:c r="N44" s="11" t="str"/>
      <x:c r="O44" s="11" t="str"/>
    </x:row>
    <x:row r="45" ht="15" hidden="0" customHeight="1">
      <x:c r="A45" s="11" t="str"/>
      <x:c r="B45" s="11" t="str"/>
      <x:c r="C45" s="11" t="str"/>
      <x:c r="D45" s="11" t="str"/>
      <x:c r="E45" s="11" t="str"/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  <x:c r="N45" s="11" t="str"/>
      <x:c r="O45" s="11" t="str"/>
    </x:row>
    <x:row r="46" ht="15" hidden="0" customHeight="1">
      <x:c r="A46" s="11" t="str"/>
      <x:c r="B46" s="11" t="str"/>
      <x:c r="C46" s="11" t="str"/>
      <x:c r="D46" s="11" t="str"/>
      <x:c r="E46" s="11" t="str"/>
      <x:c r="F46" s="11" t="str"/>
      <x:c r="G46" s="11" t="str"/>
      <x:c r="H46" s="11" t="str"/>
      <x:c r="I46" s="11" t="str"/>
      <x:c r="J46" s="11" t="str"/>
      <x:c r="K46" s="11" t="str"/>
      <x:c r="L46" s="11" t="str"/>
      <x:c r="M46" s="11" t="str"/>
      <x:c r="N46" s="11" t="str"/>
      <x:c r="O46" s="11" t="str"/>
    </x:row>
    <x:row r="47" ht="15" hidden="0" customHeight="1">
      <x:c r="A47" s="11" t="str"/>
      <x:c r="B47" s="11" t="str"/>
      <x:c r="C47" s="11" t="str"/>
      <x:c r="D47" s="11" t="str"/>
      <x:c r="E47" s="11" t="str"/>
      <x:c r="F47" s="11" t="str"/>
      <x:c r="G47" s="11" t="str"/>
      <x:c r="H47" s="11" t="str"/>
      <x:c r="I47" s="11" t="str"/>
      <x:c r="J47" s="11" t="str"/>
      <x:c r="K47" s="11" t="str"/>
      <x:c r="L47" s="11" t="str"/>
      <x:c r="M47" s="11" t="str"/>
      <x:c r="N47" s="11" t="str"/>
      <x:c r="O47" s="11" t="str"/>
    </x:row>
    <x:row r="48" ht="15" hidden="0" customHeight="1">
      <x:c r="A48" s="11" t="str"/>
      <x:c r="B48" s="11" t="str"/>
      <x:c r="C48" s="11" t="str"/>
      <x:c r="D48" s="11" t="str"/>
      <x:c r="E48" s="11" t="str"/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  <x:c r="N48" s="11" t="str"/>
      <x:c r="O48" s="11" t="str"/>
    </x:row>
    <x:row r="49" ht="15" hidden="0" customHeight="1">
      <x:c r="A49" s="11" t="str"/>
      <x:c r="B49" s="11" t="str"/>
      <x:c r="C49" s="11" t="str"/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  <x:c r="N49" s="11" t="str"/>
      <x:c r="O49" s="11" t="str"/>
    </x:row>
    <x:row r="50" ht="15" hidden="0" customHeight="1">
      <x:c r="A50" s="11" t="str"/>
      <x:c r="B50" s="11" t="str"/>
      <x:c r="C50" s="11" t="str"/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  <x:c r="O50" s="11" t="str"/>
    </x:row>
    <x:row r="51" ht="15" hidden="0" customHeight="1">
      <x:c r="A51" s="11" t="str"/>
      <x:c r="B51" s="11" t="str"/>
      <x:c r="C51" s="11" t="str"/>
      <x:c r="D51" s="11" t="str"/>
      <x:c r="E51" s="11" t="str"/>
      <x:c r="F51" s="11" t="str"/>
      <x:c r="G51" s="11" t="str"/>
      <x:c r="H51" s="11" t="str"/>
      <x:c r="I51" s="11" t="str"/>
      <x:c r="J51" s="11" t="str"/>
      <x:c r="K51" s="11" t="str"/>
      <x:c r="L51" s="11" t="str"/>
      <x:c r="M51" s="11" t="str"/>
      <x:c r="N51" s="11" t="str"/>
      <x:c r="O51" s="11" t="str"/>
    </x:row>
    <x:row r="52" ht="15" hidden="0" customHeight="1">
      <x:c r="A52" s="11" t="str"/>
      <x:c r="B52" s="11" t="str"/>
      <x:c r="C52" s="11" t="str"/>
      <x:c r="D52" s="11" t="str"/>
      <x:c r="E52" s="11" t="str"/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  <x:c r="N52" s="11" t="str"/>
      <x:c r="O52" s="11" t="str"/>
    </x:row>
    <x:row r="53" ht="15" hidden="0" customHeight="1">
      <x:c r="A53" s="11" t="str"/>
      <x:c r="B53" s="11" t="str"/>
      <x:c r="C53" s="11" t="str"/>
      <x:c r="D53" s="11" t="str"/>
      <x:c r="E53" s="11" t="str"/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  <x:c r="N53" s="11" t="str"/>
      <x:c r="O53" s="11" t="str"/>
    </x:row>
    <x:row r="54" ht="15" hidden="0" customHeight="1">
      <x:c r="A54" s="11" t="str"/>
      <x:c r="B54" s="11" t="str"/>
      <x:c r="C54" s="11" t="str"/>
      <x:c r="D54" s="11" t="str"/>
      <x:c r="E54" s="11" t="str"/>
      <x:c r="F54" s="11" t="str"/>
      <x:c r="G54" s="11" t="str"/>
      <x:c r="H54" s="11" t="str"/>
      <x:c r="I54" s="11" t="str"/>
      <x:c r="J54" s="11" t="str"/>
      <x:c r="K54" s="11" t="str"/>
      <x:c r="L54" s="11" t="str"/>
      <x:c r="M54" s="11" t="str"/>
      <x:c r="N54" s="11" t="str"/>
      <x:c r="O54" s="11" t="str"/>
    </x:row>
    <x:row r="55" ht="15" hidden="0" customHeight="1">
      <x:c r="A55" s="11" t="str"/>
      <x:c r="B55" s="11" t="str"/>
      <x:c r="C55" s="11" t="str"/>
      <x:c r="D55" s="11" t="str"/>
      <x:c r="E55" s="11" t="str"/>
      <x:c r="F55" s="11" t="str"/>
      <x:c r="G55" s="11" t="str"/>
      <x:c r="H55" s="11" t="str"/>
      <x:c r="I55" s="11" t="str"/>
      <x:c r="J55" s="11" t="str"/>
      <x:c r="K55" s="11" t="str"/>
      <x:c r="L55" s="11" t="str"/>
      <x:c r="M55" s="11" t="str"/>
      <x:c r="N55" s="11" t="str"/>
      <x:c r="O55" s="11" t="str"/>
    </x:row>
  </x:sheetData>
  <x:conditionalFormatting sqref="B6:B55">
    <x:cfRule type="containsText" dxfId="6" priority="1" operator="containsText" text="S0"/>
    <x:cfRule type="containsText" dxfId="7" priority="2" operator="containsText" text="S1"/>
  </x:conditionalFormatting>
  <x:dataValidations count="2">
    <x:dataValidation type="list" sqref="B6:B55">
      <x:formula1>"S0,S1,S2,S3"</x:formula1>
    </x:dataValidation>
    <x:dataValidation type="list" sqref="I6:I55">
      <x:formula1>"待修复,修复中,待复验,已关闭,重新打开,经确认接受"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c0f7c8386f4831"/>
  </x:tableParts>
</x:worksheet>
</file>